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ospi\Desktop\January 2026\"/>
    </mc:Choice>
  </mc:AlternateContent>
  <xr:revisionPtr revIDLastSave="0" documentId="8_{E5A4A4AF-C7BF-4CED-A188-0C6E86DEAB3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Index 2013 to 2025" sheetId="1" r:id="rId1"/>
    <sheet name="Sheet5" sheetId="10" r:id="rId2"/>
    <sheet name="Linking Factor" sheetId="2" r:id="rId3"/>
    <sheet name="DIID format_old" sheetId="5" r:id="rId4"/>
    <sheet name="Sheet6" sheetId="11" r:id="rId5"/>
  </sheets>
  <definedNames>
    <definedName name="_xlnm._FilterDatabase" localSheetId="0" hidden="1">'Index 2013 to 2025'!$A$2:$N$158</definedName>
    <definedName name="ExternalData_1" localSheetId="3" hidden="1">'DIID format_old'!$A$1:$E$469</definedName>
    <definedName name="ExternalData_1" localSheetId="4" hidden="1">Sheet6!$A$1:$E$469</definedName>
  </definedNames>
  <calcPr calcId="19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K15" i="2"/>
  <c r="M15" i="2"/>
  <c r="L15" i="2"/>
  <c r="I15" i="2" l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2" i="11"/>
  <c r="L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2" i="5"/>
  <c r="D15" i="2" l="1"/>
  <c r="H18" i="2" s="1"/>
  <c r="E15" i="2"/>
  <c r="I18" i="2" s="1"/>
  <c r="C15" i="2"/>
  <c r="G18" i="2" s="1"/>
  <c r="J15" i="2"/>
  <c r="H15" i="2"/>
  <c r="C18" i="2" l="1"/>
  <c r="E18" i="2"/>
  <c r="D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Table1 (2);Extended Properties=&quot;&quot;" command="SELECT * FROM [Table1 (2)]"/>
  </connection>
  <connection id="2" xr16:uid="{00000000-0015-0000-FFFF-FFFF01000000}" keepAlive="1" name="Query - Table6" description="Connection to the 'Table6' query in the workbook." type="5" refreshedVersion="6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<sst xmlns="http://schemas.openxmlformats.org/spreadsheetml/2006/main" count="6643" uniqueCount="45">
  <si>
    <t>Year</t>
  </si>
  <si>
    <t>Month</t>
  </si>
  <si>
    <t>State</t>
  </si>
  <si>
    <t>Group</t>
  </si>
  <si>
    <t>Sub Group</t>
  </si>
  <si>
    <t>Description</t>
  </si>
  <si>
    <t>Rural</t>
  </si>
  <si>
    <t>Urban</t>
  </si>
  <si>
    <t>Combined</t>
  </si>
  <si>
    <t>Status</t>
  </si>
  <si>
    <t>January</t>
  </si>
  <si>
    <t>ALL India</t>
  </si>
  <si>
    <t>General Index (All Groups)</t>
  </si>
  <si>
    <t>F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</si>
  <si>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</si>
  <si>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</si>
  <si>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</si>
  <si>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</si>
  <si>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</si>
  <si>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</si>
  <si>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</si>
  <si>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</si>
  <si>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</si>
  <si>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</si>
  <si>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</si>
  <si>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F*</t>
  </si>
  <si>
    <t>P</t>
  </si>
  <si>
    <t>BASE 2012</t>
  </si>
  <si>
    <t>BASE 2024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</si>
  <si>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</si>
  <si>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</si>
  <si>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</si>
  <si>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</si>
  <si>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</si>
  <si>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</si>
  <si>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</si>
  <si>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</si>
  <si>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</si>
  <si>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</si>
  <si>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</si>
  <si>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Linking Factor</t>
  </si>
  <si>
    <t>Old series Index</t>
  </si>
  <si>
    <t>Back Series Index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</si>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</sst>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0000000}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State" tableColumnId="11"/>
      <queryTableField id="2" name="Year" tableColumnId="12"/>
      <queryTableField id="3" name="Month" tableColumnId="13"/>
      <queryTableField id="4" name="Attribute" tableColumnId="14"/>
      <queryTableField id="5" name="Valu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400-000001000000}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Year" tableColumnId="11"/>
      <queryTableField id="2" name="Month" tableColumnId="12"/>
      <queryTableField id="3" name="State" tableColumnId="13"/>
      <queryTableField id="4" name="Attribute" tableColumnId="14"/>
      <queryTableField id="5" name="Value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F157" totalsRowShown="0">
  <autoFilter ref="A1:F157" xr:uid="{00000000-0009-0000-0100-000006000000}"/>
  <tableColumns count="6">
    <tableColumn id="1" xr3:uid="{00000000-0010-0000-0000-000001000000}" name="Year"/>
    <tableColumn id="2" xr3:uid="{00000000-0010-0000-0000-000002000000}" name="Month"/>
    <tableColumn id="3" xr3:uid="{00000000-0010-0000-0000-000003000000}" name="State"/>
    <tableColumn id="4" xr3:uid="{00000000-0010-0000-0000-000004000000}" name="Rural" dataDxfId="2"/>
    <tableColumn id="5" xr3:uid="{00000000-0010-0000-0000-000005000000}" name="Urban" dataDxfId="1"/>
    <tableColumn id="6" xr3:uid="{00000000-0010-0000-0000-000006000000}" name="Combin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__2" displayName="Table1__2" ref="A1:E469" tableType="queryTable" totalsRowShown="0">
  <autoFilter ref="A1:E469" xr:uid="{00000000-0009-0000-0100-000003000000}"/>
  <tableColumns count="5">
    <tableColumn id="11" xr3:uid="{00000000-0010-0000-0100-00000B000000}" uniqueName="11" name="State" queryTableFieldId="1"/>
    <tableColumn id="12" xr3:uid="{00000000-0010-0000-0100-00000C000000}" uniqueName="12" name="Year" queryTableFieldId="2"/>
    <tableColumn id="13" xr3:uid="{00000000-0010-0000-0100-00000D000000}" uniqueName="13" name="Month" queryTableFieldId="3"/>
    <tableColumn id="14" xr3:uid="{00000000-0010-0000-0100-00000E000000}" uniqueName="14" name="Attribute" queryTableFieldId="4"/>
    <tableColumn id="15" xr3:uid="{00000000-0010-0000-0100-00000F000000}" uniqueName="15" name="Valu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6_2" displayName="Table6_2" ref="A1:E469" tableType="queryTable" totalsRowShown="0">
  <autoFilter ref="A1:E469" xr:uid="{00000000-0009-0000-0100-000007000000}"/>
  <tableColumns count="5">
    <tableColumn id="11" xr3:uid="{00000000-0010-0000-0200-00000B000000}" uniqueName="11" name="Year" queryTableFieldId="1"/>
    <tableColumn id="12" xr3:uid="{00000000-0010-0000-0200-00000C000000}" uniqueName="12" name="Month" queryTableFieldId="2"/>
    <tableColumn id="13" xr3:uid="{00000000-0010-0000-0200-00000D000000}" uniqueName="13" name="State" queryTableFieldId="3"/>
    <tableColumn id="14" xr3:uid="{00000000-0010-0000-0200-00000E000000}" uniqueName="14" name="Attribute" queryTableFieldId="4"/>
    <tableColumn id="15" xr3:uid="{00000000-0010-0000-0200-00000F000000}" uniqueName="1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"/>
  <sheetViews>
    <sheetView tabSelected="1" workbookViewId="0">
      <selection activeCell="U132" sqref="U132"/>
    </sheetView>
  </sheetViews>
  <sheetFormatPr defaultRowHeight="15" x14ac:dyDescent="0.25"/>
  <cols>
    <col min="6" max="6" width="21" customWidth="1"/>
    <col min="7" max="7" width="15.85546875" customWidth="1"/>
    <col min="8" max="8" width="17" customWidth="1"/>
    <col min="9" max="9" width="15" customWidth="1"/>
    <col min="13" max="13" width="16.85546875" customWidth="1"/>
    <col min="14" max="14" width="19" customWidth="1"/>
  </cols>
  <sheetData>
    <row r="1" spans="1:14" x14ac:dyDescent="0.25">
      <c r="A1" s="3" t="s">
        <v>41</v>
      </c>
      <c r="B1" s="3"/>
      <c r="C1" s="3"/>
      <c r="D1" s="3"/>
      <c r="E1" s="3"/>
      <c r="F1" s="3"/>
      <c r="G1" s="3"/>
      <c r="H1" s="3"/>
      <c r="I1" s="3"/>
      <c r="J1" s="3"/>
      <c r="L1" s="3" t="s">
        <v>42</v>
      </c>
      <c r="M1" s="3"/>
      <c r="N1" s="3"/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6</v>
      </c>
      <c r="M2" t="s">
        <v>7</v>
      </c>
      <c r="N2" t="s">
        <v>8</v>
      </c>
    </row>
    <row r="3" spans="1:14" x14ac:dyDescent="0.25">
      <c r="A3">
        <v>2013</v>
      </c>
      <c r="B3" t="s">
        <v>10</v>
      </c>
      <c r="C3" t="s">
        <v>11</v>
      </c>
      <c r="F3" t="s">
        <v>12</v>
      </c>
      <c r="G3">
        <v>105.1</v>
      </c>
      <c r="H3">
        <v>104</v>
      </c>
      <c r="I3">
        <v>104.6</v>
      </c>
      <c r="J3" t="s">
        <v>13</v>
      </c>
      <c r="L3" s="2">
        <f>G3*'Linking Factor'!$C$19</f>
        <v>54.883219999999994</v>
      </c>
      <c r="M3" s="2">
        <f>H3*'Linking Factor'!$D$19</f>
        <v>55.328000000000003</v>
      </c>
      <c r="N3" s="2">
        <f>I3*'Linking Factor'!$E$19</f>
        <v>55.092819999999989</v>
      </c>
    </row>
    <row r="4" spans="1:14" x14ac:dyDescent="0.25">
      <c r="A4">
        <v>2013</v>
      </c>
      <c r="B4" t="s">
        <v>14</v>
      </c>
      <c r="C4" t="s">
        <v>11</v>
      </c>
      <c r="F4" t="s">
        <v>12</v>
      </c>
      <c r="G4">
        <v>105.8</v>
      </c>
      <c r="H4">
        <v>104.7</v>
      </c>
      <c r="I4">
        <v>105.3</v>
      </c>
      <c r="J4" t="s">
        <v>13</v>
      </c>
      <c r="L4" s="2">
        <f>G4*'Linking Factor'!$C$19</f>
        <v>55.248759999999997</v>
      </c>
      <c r="M4" s="2">
        <f>H4*'Linking Factor'!$D$19</f>
        <v>55.700400000000002</v>
      </c>
      <c r="N4" s="2">
        <f>I4*'Linking Factor'!$E$19</f>
        <v>55.46150999999999</v>
      </c>
    </row>
    <row r="5" spans="1:14" x14ac:dyDescent="0.25">
      <c r="A5">
        <v>2013</v>
      </c>
      <c r="B5" t="s">
        <v>15</v>
      </c>
      <c r="C5" t="s">
        <v>11</v>
      </c>
      <c r="F5" t="s">
        <v>12</v>
      </c>
      <c r="G5">
        <v>106</v>
      </c>
      <c r="H5">
        <v>105</v>
      </c>
      <c r="I5">
        <v>105.5</v>
      </c>
      <c r="J5" t="s">
        <v>13</v>
      </c>
      <c r="L5" s="2">
        <f>G5*'Linking Factor'!$C$19</f>
        <v>55.353200000000001</v>
      </c>
      <c r="M5" s="2">
        <f>H5*'Linking Factor'!$D$19</f>
        <v>55.86</v>
      </c>
      <c r="N5" s="2">
        <f>I5*'Linking Factor'!$E$19</f>
        <v>55.566849999999995</v>
      </c>
    </row>
    <row r="6" spans="1:14" x14ac:dyDescent="0.25">
      <c r="A6">
        <v>2013</v>
      </c>
      <c r="B6" t="s">
        <v>16</v>
      </c>
      <c r="C6" t="s">
        <v>11</v>
      </c>
      <c r="F6" t="s">
        <v>12</v>
      </c>
      <c r="G6">
        <v>106.4</v>
      </c>
      <c r="H6">
        <v>105.7</v>
      </c>
      <c r="I6">
        <v>106.1</v>
      </c>
      <c r="J6" t="s">
        <v>13</v>
      </c>
      <c r="L6" s="2">
        <f>G6*'Linking Factor'!$C$19</f>
        <v>55.562080000000002</v>
      </c>
      <c r="M6" s="2">
        <f>H6*'Linking Factor'!$D$19</f>
        <v>56.232400000000005</v>
      </c>
      <c r="N6" s="2">
        <f>I6*'Linking Factor'!$E$19</f>
        <v>55.88286999999999</v>
      </c>
    </row>
    <row r="7" spans="1:14" x14ac:dyDescent="0.25">
      <c r="A7">
        <v>2013</v>
      </c>
      <c r="B7" t="s">
        <v>17</v>
      </c>
      <c r="C7" t="s">
        <v>11</v>
      </c>
      <c r="F7" t="s">
        <v>12</v>
      </c>
      <c r="G7">
        <v>107.2</v>
      </c>
      <c r="H7">
        <v>106.6</v>
      </c>
      <c r="I7">
        <v>106.9</v>
      </c>
      <c r="J7" t="s">
        <v>13</v>
      </c>
      <c r="L7" s="2">
        <f>G7*'Linking Factor'!$C$19</f>
        <v>55.979840000000003</v>
      </c>
      <c r="M7" s="2">
        <f>H7*'Linking Factor'!$D$19</f>
        <v>56.711199999999998</v>
      </c>
      <c r="N7" s="2">
        <f>I7*'Linking Factor'!$E$19</f>
        <v>56.304229999999997</v>
      </c>
    </row>
    <row r="8" spans="1:14" x14ac:dyDescent="0.25">
      <c r="A8">
        <v>2013</v>
      </c>
      <c r="B8" t="s">
        <v>18</v>
      </c>
      <c r="C8" t="s">
        <v>11</v>
      </c>
      <c r="F8" t="s">
        <v>12</v>
      </c>
      <c r="G8">
        <v>108.9</v>
      </c>
      <c r="H8">
        <v>109.7</v>
      </c>
      <c r="I8">
        <v>109.3</v>
      </c>
      <c r="J8" t="s">
        <v>13</v>
      </c>
      <c r="L8" s="2">
        <f>G8*'Linking Factor'!$C$19</f>
        <v>56.867580000000004</v>
      </c>
      <c r="M8" s="2">
        <f>H8*'Linking Factor'!$D$19</f>
        <v>58.360400000000006</v>
      </c>
      <c r="N8" s="2">
        <f>I8*'Linking Factor'!$E$19</f>
        <v>57.56830999999999</v>
      </c>
    </row>
    <row r="9" spans="1:14" x14ac:dyDescent="0.25">
      <c r="A9">
        <v>2013</v>
      </c>
      <c r="B9" t="s">
        <v>19</v>
      </c>
      <c r="C9" t="s">
        <v>11</v>
      </c>
      <c r="F9" t="s">
        <v>12</v>
      </c>
      <c r="G9">
        <v>110.7</v>
      </c>
      <c r="H9">
        <v>111.4</v>
      </c>
      <c r="I9">
        <v>111</v>
      </c>
      <c r="J9" t="s">
        <v>13</v>
      </c>
      <c r="L9" s="2">
        <f>G9*'Linking Factor'!$C$19</f>
        <v>57.807540000000003</v>
      </c>
      <c r="M9" s="2">
        <f>H9*'Linking Factor'!$D$19</f>
        <v>59.264800000000008</v>
      </c>
      <c r="N9" s="2">
        <f>I9*'Linking Factor'!$E$19</f>
        <v>58.463699999999996</v>
      </c>
    </row>
    <row r="10" spans="1:14" x14ac:dyDescent="0.25">
      <c r="A10">
        <v>2013</v>
      </c>
      <c r="B10" t="s">
        <v>20</v>
      </c>
      <c r="C10" t="s">
        <v>11</v>
      </c>
      <c r="F10" t="s">
        <v>12</v>
      </c>
      <c r="G10">
        <v>112.1</v>
      </c>
      <c r="H10">
        <v>112.7</v>
      </c>
      <c r="I10">
        <v>112.4</v>
      </c>
      <c r="J10" t="s">
        <v>13</v>
      </c>
      <c r="L10" s="2">
        <f>G10*'Linking Factor'!$C$19</f>
        <v>58.538619999999995</v>
      </c>
      <c r="M10" s="2">
        <f>H10*'Linking Factor'!$D$19</f>
        <v>59.956400000000002</v>
      </c>
      <c r="N10" s="2">
        <f>I10*'Linking Factor'!$E$19</f>
        <v>59.201079999999997</v>
      </c>
    </row>
    <row r="11" spans="1:14" x14ac:dyDescent="0.25">
      <c r="A11">
        <v>2013</v>
      </c>
      <c r="B11" t="s">
        <v>21</v>
      </c>
      <c r="C11" t="s">
        <v>11</v>
      </c>
      <c r="F11" t="s">
        <v>12</v>
      </c>
      <c r="G11">
        <v>114.2</v>
      </c>
      <c r="H11">
        <v>113.2</v>
      </c>
      <c r="I11">
        <v>113.7</v>
      </c>
      <c r="J11" t="s">
        <v>13</v>
      </c>
      <c r="L11" s="2">
        <f>G11*'Linking Factor'!$C$19</f>
        <v>59.635240000000003</v>
      </c>
      <c r="M11" s="2">
        <f>H11*'Linking Factor'!$D$19</f>
        <v>60.222400000000007</v>
      </c>
      <c r="N11" s="2">
        <f>I11*'Linking Factor'!$E$19</f>
        <v>59.885789999999993</v>
      </c>
    </row>
    <row r="12" spans="1:14" x14ac:dyDescent="0.25">
      <c r="A12">
        <v>2013</v>
      </c>
      <c r="B12" t="s">
        <v>22</v>
      </c>
      <c r="C12" t="s">
        <v>11</v>
      </c>
      <c r="F12" t="s">
        <v>12</v>
      </c>
      <c r="G12">
        <v>115.5</v>
      </c>
      <c r="H12">
        <v>114</v>
      </c>
      <c r="I12">
        <v>114.8</v>
      </c>
      <c r="J12" t="s">
        <v>13</v>
      </c>
      <c r="L12" s="2">
        <f>G12*'Linking Factor'!$C$19</f>
        <v>60.314099999999996</v>
      </c>
      <c r="M12" s="2">
        <f>H12*'Linking Factor'!$D$19</f>
        <v>60.648000000000003</v>
      </c>
      <c r="N12" s="2">
        <f>I12*'Linking Factor'!$E$19</f>
        <v>60.46515999999999</v>
      </c>
    </row>
    <row r="13" spans="1:14" x14ac:dyDescent="0.25">
      <c r="A13">
        <v>2013</v>
      </c>
      <c r="B13" t="s">
        <v>23</v>
      </c>
      <c r="C13" t="s">
        <v>11</v>
      </c>
      <c r="F13" t="s">
        <v>12</v>
      </c>
      <c r="G13">
        <v>117.4</v>
      </c>
      <c r="H13">
        <v>115</v>
      </c>
      <c r="I13">
        <v>116.3</v>
      </c>
      <c r="J13" t="s">
        <v>13</v>
      </c>
      <c r="L13" s="2">
        <f>G13*'Linking Factor'!$C$19</f>
        <v>61.306280000000001</v>
      </c>
      <c r="M13" s="2">
        <f>H13*'Linking Factor'!$D$19</f>
        <v>61.180000000000007</v>
      </c>
      <c r="N13" s="2">
        <f>I13*'Linking Factor'!$E$19</f>
        <v>61.255209999999991</v>
      </c>
    </row>
    <row r="14" spans="1:14" x14ac:dyDescent="0.25">
      <c r="A14">
        <v>2013</v>
      </c>
      <c r="B14" t="s">
        <v>24</v>
      </c>
      <c r="C14" t="s">
        <v>11</v>
      </c>
      <c r="F14" t="s">
        <v>12</v>
      </c>
      <c r="G14">
        <v>115.5</v>
      </c>
      <c r="H14">
        <v>113.3</v>
      </c>
      <c r="I14">
        <v>114.5</v>
      </c>
      <c r="J14" t="s">
        <v>13</v>
      </c>
      <c r="L14" s="2">
        <f>G14*'Linking Factor'!$C$19</f>
        <v>60.314099999999996</v>
      </c>
      <c r="M14" s="2">
        <f>H14*'Linking Factor'!$D$19</f>
        <v>60.275600000000004</v>
      </c>
      <c r="N14" s="2">
        <f>I14*'Linking Factor'!$E$19</f>
        <v>60.307149999999993</v>
      </c>
    </row>
    <row r="15" spans="1:14" x14ac:dyDescent="0.25">
      <c r="A15">
        <v>2014</v>
      </c>
      <c r="B15" t="s">
        <v>10</v>
      </c>
      <c r="C15" t="s">
        <v>11</v>
      </c>
      <c r="F15" t="s">
        <v>12</v>
      </c>
      <c r="G15">
        <v>114.2</v>
      </c>
      <c r="H15">
        <v>112.9</v>
      </c>
      <c r="I15">
        <v>113.6</v>
      </c>
      <c r="J15" t="s">
        <v>13</v>
      </c>
      <c r="L15" s="2">
        <f>G15*'Linking Factor'!$C$19</f>
        <v>59.635240000000003</v>
      </c>
      <c r="M15" s="2">
        <f>H15*'Linking Factor'!$D$19</f>
        <v>60.062800000000003</v>
      </c>
      <c r="N15" s="2">
        <f>I15*'Linking Factor'!$E$19</f>
        <v>59.833119999999994</v>
      </c>
    </row>
    <row r="16" spans="1:14" x14ac:dyDescent="0.25">
      <c r="A16">
        <v>2014</v>
      </c>
      <c r="B16" t="s">
        <v>14</v>
      </c>
      <c r="C16" t="s">
        <v>11</v>
      </c>
      <c r="F16" t="s">
        <v>12</v>
      </c>
      <c r="G16">
        <v>114</v>
      </c>
      <c r="H16">
        <v>113.1</v>
      </c>
      <c r="I16">
        <v>113.6</v>
      </c>
      <c r="J16" t="s">
        <v>13</v>
      </c>
      <c r="L16" s="2">
        <f>G16*'Linking Factor'!$C$19</f>
        <v>59.530799999999999</v>
      </c>
      <c r="M16" s="2">
        <f>H16*'Linking Factor'!$D$19</f>
        <v>60.169200000000004</v>
      </c>
      <c r="N16" s="2">
        <f>I16*'Linking Factor'!$E$19</f>
        <v>59.833119999999994</v>
      </c>
    </row>
    <row r="17" spans="1:14" x14ac:dyDescent="0.25">
      <c r="A17">
        <v>2014</v>
      </c>
      <c r="B17" t="s">
        <v>15</v>
      </c>
      <c r="C17" t="s">
        <v>11</v>
      </c>
      <c r="F17" t="s">
        <v>12</v>
      </c>
      <c r="G17">
        <v>114.6</v>
      </c>
      <c r="H17">
        <v>113.7</v>
      </c>
      <c r="I17">
        <v>114.2</v>
      </c>
      <c r="J17" t="s">
        <v>13</v>
      </c>
      <c r="L17" s="2">
        <f>G17*'Linking Factor'!$C$19</f>
        <v>59.844119999999997</v>
      </c>
      <c r="M17" s="2">
        <f>H17*'Linking Factor'!$D$19</f>
        <v>60.488400000000006</v>
      </c>
      <c r="N17" s="2">
        <f>I17*'Linking Factor'!$E$19</f>
        <v>60.149139999999996</v>
      </c>
    </row>
    <row r="18" spans="1:14" x14ac:dyDescent="0.25">
      <c r="A18">
        <v>2014</v>
      </c>
      <c r="B18" t="s">
        <v>16</v>
      </c>
      <c r="C18" t="s">
        <v>11</v>
      </c>
      <c r="F18" t="s">
        <v>12</v>
      </c>
      <c r="G18">
        <v>115.4</v>
      </c>
      <c r="H18">
        <v>114.7</v>
      </c>
      <c r="I18">
        <v>115.1</v>
      </c>
      <c r="J18" t="s">
        <v>13</v>
      </c>
      <c r="L18" s="2">
        <f>G18*'Linking Factor'!$C$19</f>
        <v>60.261880000000005</v>
      </c>
      <c r="M18" s="2">
        <f>H18*'Linking Factor'!$D$19</f>
        <v>61.020400000000002</v>
      </c>
      <c r="N18" s="2">
        <f>I18*'Linking Factor'!$E$19</f>
        <v>60.623169999999988</v>
      </c>
    </row>
    <row r="19" spans="1:14" x14ac:dyDescent="0.25">
      <c r="A19">
        <v>2014</v>
      </c>
      <c r="B19" t="s">
        <v>17</v>
      </c>
      <c r="C19" t="s">
        <v>11</v>
      </c>
      <c r="F19" t="s">
        <v>12</v>
      </c>
      <c r="G19">
        <v>116</v>
      </c>
      <c r="H19">
        <v>115.6</v>
      </c>
      <c r="I19">
        <v>115.8</v>
      </c>
      <c r="J19" t="s">
        <v>13</v>
      </c>
      <c r="L19" s="2">
        <f>G19*'Linking Factor'!$C$19</f>
        <v>60.575200000000002</v>
      </c>
      <c r="M19" s="2">
        <f>H19*'Linking Factor'!$D$19</f>
        <v>61.499200000000002</v>
      </c>
      <c r="N19" s="2">
        <f>I19*'Linking Factor'!$E$19</f>
        <v>60.991859999999996</v>
      </c>
    </row>
    <row r="20" spans="1:14" x14ac:dyDescent="0.25">
      <c r="A20">
        <v>2014</v>
      </c>
      <c r="B20" t="s">
        <v>18</v>
      </c>
      <c r="C20" t="s">
        <v>11</v>
      </c>
      <c r="F20" t="s">
        <v>12</v>
      </c>
      <c r="G20">
        <v>117</v>
      </c>
      <c r="H20">
        <v>116.4</v>
      </c>
      <c r="I20">
        <v>116.7</v>
      </c>
      <c r="J20" t="s">
        <v>13</v>
      </c>
      <c r="L20" s="2">
        <f>G20*'Linking Factor'!$C$19</f>
        <v>61.0974</v>
      </c>
      <c r="M20" s="2">
        <f>H20*'Linking Factor'!$D$19</f>
        <v>61.924800000000005</v>
      </c>
      <c r="N20" s="2">
        <f>I20*'Linking Factor'!$E$19</f>
        <v>61.465889999999995</v>
      </c>
    </row>
    <row r="21" spans="1:14" x14ac:dyDescent="0.25">
      <c r="A21">
        <v>2014</v>
      </c>
      <c r="B21" t="s">
        <v>19</v>
      </c>
      <c r="C21" t="s">
        <v>11</v>
      </c>
      <c r="F21" t="s">
        <v>12</v>
      </c>
      <c r="G21">
        <v>119.5</v>
      </c>
      <c r="H21">
        <v>118.9</v>
      </c>
      <c r="I21">
        <v>119.2</v>
      </c>
      <c r="J21" t="s">
        <v>13</v>
      </c>
      <c r="L21" s="2">
        <f>G21*'Linking Factor'!$C$19</f>
        <v>62.402900000000002</v>
      </c>
      <c r="M21" s="2">
        <f>H21*'Linking Factor'!$D$19</f>
        <v>63.254800000000003</v>
      </c>
      <c r="N21" s="2">
        <f>I21*'Linking Factor'!$E$19</f>
        <v>62.782639999999994</v>
      </c>
    </row>
    <row r="22" spans="1:14" x14ac:dyDescent="0.25">
      <c r="A22">
        <v>2014</v>
      </c>
      <c r="B22" t="s">
        <v>20</v>
      </c>
      <c r="C22" t="s">
        <v>11</v>
      </c>
      <c r="F22" t="s">
        <v>12</v>
      </c>
      <c r="G22">
        <v>120.7</v>
      </c>
      <c r="H22">
        <v>119.9</v>
      </c>
      <c r="I22">
        <v>120.3</v>
      </c>
      <c r="J22" t="s">
        <v>13</v>
      </c>
      <c r="L22" s="2">
        <f>G22*'Linking Factor'!$C$19</f>
        <v>63.029540000000004</v>
      </c>
      <c r="M22" s="2">
        <f>H22*'Linking Factor'!$D$19</f>
        <v>63.786800000000007</v>
      </c>
      <c r="N22" s="2">
        <f>I22*'Linking Factor'!$E$19</f>
        <v>63.362009999999991</v>
      </c>
    </row>
    <row r="23" spans="1:14" x14ac:dyDescent="0.25">
      <c r="A23">
        <v>2014</v>
      </c>
      <c r="B23" t="s">
        <v>21</v>
      </c>
      <c r="C23" t="s">
        <v>11</v>
      </c>
      <c r="F23" t="s">
        <v>12</v>
      </c>
      <c r="G23">
        <v>120.9</v>
      </c>
      <c r="H23">
        <v>119.2</v>
      </c>
      <c r="I23">
        <v>120.1</v>
      </c>
      <c r="J23" t="s">
        <v>13</v>
      </c>
      <c r="L23" s="2">
        <f>G23*'Linking Factor'!$C$19</f>
        <v>63.133980000000001</v>
      </c>
      <c r="M23" s="2">
        <f>H23*'Linking Factor'!$D$19</f>
        <v>63.414400000000008</v>
      </c>
      <c r="N23" s="2">
        <f>I23*'Linking Factor'!$E$19</f>
        <v>63.256669999999993</v>
      </c>
    </row>
    <row r="24" spans="1:14" x14ac:dyDescent="0.25">
      <c r="A24">
        <v>2014</v>
      </c>
      <c r="B24" t="s">
        <v>22</v>
      </c>
      <c r="C24" t="s">
        <v>11</v>
      </c>
      <c r="F24" t="s">
        <v>12</v>
      </c>
      <c r="G24">
        <v>121</v>
      </c>
      <c r="H24">
        <v>119.1</v>
      </c>
      <c r="I24">
        <v>120.1</v>
      </c>
      <c r="J24" t="s">
        <v>13</v>
      </c>
      <c r="L24" s="2">
        <f>G24*'Linking Factor'!$C$19</f>
        <v>63.186199999999999</v>
      </c>
      <c r="M24" s="2">
        <f>H24*'Linking Factor'!$D$19</f>
        <v>63.361200000000004</v>
      </c>
      <c r="N24" s="2">
        <f>I24*'Linking Factor'!$E$19</f>
        <v>63.256669999999993</v>
      </c>
    </row>
    <row r="25" spans="1:14" x14ac:dyDescent="0.25">
      <c r="A25">
        <v>2014</v>
      </c>
      <c r="B25" t="s">
        <v>23</v>
      </c>
      <c r="C25" t="s">
        <v>11</v>
      </c>
      <c r="F25" t="s">
        <v>12</v>
      </c>
      <c r="G25">
        <v>121.1</v>
      </c>
      <c r="H25">
        <v>119</v>
      </c>
      <c r="I25">
        <v>120.1</v>
      </c>
      <c r="J25" t="s">
        <v>13</v>
      </c>
      <c r="L25" s="2">
        <f>G25*'Linking Factor'!$C$19</f>
        <v>63.238419999999998</v>
      </c>
      <c r="M25" s="2">
        <f>H25*'Linking Factor'!$D$19</f>
        <v>63.308000000000007</v>
      </c>
      <c r="N25" s="2">
        <f>I25*'Linking Factor'!$E$19</f>
        <v>63.256669999999993</v>
      </c>
    </row>
    <row r="26" spans="1:14" x14ac:dyDescent="0.25">
      <c r="A26">
        <v>2014</v>
      </c>
      <c r="B26" t="s">
        <v>24</v>
      </c>
      <c r="C26" t="s">
        <v>11</v>
      </c>
      <c r="F26" t="s">
        <v>12</v>
      </c>
      <c r="G26">
        <v>120.3</v>
      </c>
      <c r="H26">
        <v>118.4</v>
      </c>
      <c r="I26">
        <v>119.4</v>
      </c>
      <c r="J26" t="s">
        <v>13</v>
      </c>
      <c r="L26" s="2">
        <f>G26*'Linking Factor'!$C$19</f>
        <v>62.820659999999997</v>
      </c>
      <c r="M26" s="2">
        <f>H26*'Linking Factor'!$D$19</f>
        <v>62.988800000000005</v>
      </c>
      <c r="N26" s="2">
        <f>I26*'Linking Factor'!$E$19</f>
        <v>62.887979999999999</v>
      </c>
    </row>
    <row r="27" spans="1:14" x14ac:dyDescent="0.25">
      <c r="A27">
        <v>2015</v>
      </c>
      <c r="B27" t="s">
        <v>10</v>
      </c>
      <c r="C27" t="s">
        <v>11</v>
      </c>
      <c r="F27" t="s">
        <v>12</v>
      </c>
      <c r="G27">
        <v>120.3</v>
      </c>
      <c r="H27">
        <v>118.5</v>
      </c>
      <c r="I27">
        <v>119.5</v>
      </c>
      <c r="J27" t="s">
        <v>13</v>
      </c>
      <c r="L27" s="2">
        <f>G27*'Linking Factor'!$C$19</f>
        <v>62.820659999999997</v>
      </c>
      <c r="M27" s="2">
        <f>H27*'Linking Factor'!$D$19</f>
        <v>63.042000000000002</v>
      </c>
      <c r="N27" s="2">
        <f>I27*'Linking Factor'!$E$19</f>
        <v>62.940649999999991</v>
      </c>
    </row>
    <row r="28" spans="1:14" x14ac:dyDescent="0.25">
      <c r="A28">
        <v>2015</v>
      </c>
      <c r="B28" t="s">
        <v>14</v>
      </c>
      <c r="C28" t="s">
        <v>11</v>
      </c>
      <c r="F28" t="s">
        <v>12</v>
      </c>
      <c r="G28">
        <v>120.6</v>
      </c>
      <c r="H28">
        <v>118.7</v>
      </c>
      <c r="I28">
        <v>119.7</v>
      </c>
      <c r="J28" t="s">
        <v>13</v>
      </c>
      <c r="L28" s="2">
        <f>G28*'Linking Factor'!$C$19</f>
        <v>62.977319999999999</v>
      </c>
      <c r="M28" s="2">
        <f>H28*'Linking Factor'!$D$19</f>
        <v>63.148400000000002</v>
      </c>
      <c r="N28" s="2">
        <f>I28*'Linking Factor'!$E$19</f>
        <v>63.045989999999996</v>
      </c>
    </row>
    <row r="29" spans="1:14" x14ac:dyDescent="0.25">
      <c r="A29">
        <v>2015</v>
      </c>
      <c r="B29" t="s">
        <v>15</v>
      </c>
      <c r="C29" t="s">
        <v>11</v>
      </c>
      <c r="F29" t="s">
        <v>12</v>
      </c>
      <c r="G29">
        <v>121.1</v>
      </c>
      <c r="H29">
        <v>119.1</v>
      </c>
      <c r="I29">
        <v>120.2</v>
      </c>
      <c r="J29" t="s">
        <v>13</v>
      </c>
      <c r="L29" s="2">
        <f>G29*'Linking Factor'!$C$19</f>
        <v>63.238419999999998</v>
      </c>
      <c r="M29" s="2">
        <f>H29*'Linking Factor'!$D$19</f>
        <v>63.361200000000004</v>
      </c>
      <c r="N29" s="2">
        <f>I29*'Linking Factor'!$E$19</f>
        <v>63.309339999999992</v>
      </c>
    </row>
    <row r="30" spans="1:14" x14ac:dyDescent="0.25">
      <c r="A30">
        <v>2015</v>
      </c>
      <c r="B30" t="s">
        <v>16</v>
      </c>
      <c r="C30" t="s">
        <v>11</v>
      </c>
      <c r="F30" t="s">
        <v>12</v>
      </c>
      <c r="G30">
        <v>121.5</v>
      </c>
      <c r="H30">
        <v>119.7</v>
      </c>
      <c r="I30">
        <v>120.7</v>
      </c>
      <c r="J30" t="s">
        <v>13</v>
      </c>
      <c r="L30" s="2">
        <f>G30*'Linking Factor'!$C$19</f>
        <v>63.447299999999998</v>
      </c>
      <c r="M30" s="2">
        <f>H30*'Linking Factor'!$D$19</f>
        <v>63.680400000000006</v>
      </c>
      <c r="N30" s="2">
        <f>I30*'Linking Factor'!$E$19</f>
        <v>63.572689999999994</v>
      </c>
    </row>
    <row r="31" spans="1:14" x14ac:dyDescent="0.25">
      <c r="A31">
        <v>2015</v>
      </c>
      <c r="B31" t="s">
        <v>17</v>
      </c>
      <c r="C31" t="s">
        <v>11</v>
      </c>
      <c r="F31" t="s">
        <v>12</v>
      </c>
      <c r="G31">
        <v>122.4</v>
      </c>
      <c r="H31">
        <v>120.7</v>
      </c>
      <c r="I31">
        <v>121.6</v>
      </c>
      <c r="J31" t="s">
        <v>13</v>
      </c>
      <c r="L31" s="2">
        <f>G31*'Linking Factor'!$C$19</f>
        <v>63.917280000000005</v>
      </c>
      <c r="M31" s="2">
        <f>H31*'Linking Factor'!$D$19</f>
        <v>64.212400000000002</v>
      </c>
      <c r="N31" s="2">
        <f>I31*'Linking Factor'!$E$19</f>
        <v>64.046719999999993</v>
      </c>
    </row>
    <row r="32" spans="1:14" x14ac:dyDescent="0.25">
      <c r="A32">
        <v>2015</v>
      </c>
      <c r="B32" t="s">
        <v>18</v>
      </c>
      <c r="C32" t="s">
        <v>11</v>
      </c>
      <c r="F32" t="s">
        <v>12</v>
      </c>
      <c r="G32">
        <v>124.1</v>
      </c>
      <c r="H32">
        <v>121.7</v>
      </c>
      <c r="I32">
        <v>123</v>
      </c>
      <c r="J32" t="s">
        <v>13</v>
      </c>
      <c r="L32" s="2">
        <f>G32*'Linking Factor'!$C$19</f>
        <v>64.805019999999999</v>
      </c>
      <c r="M32" s="2">
        <f>H32*'Linking Factor'!$D$19</f>
        <v>64.744399999999999</v>
      </c>
      <c r="N32" s="2">
        <f>I32*'Linking Factor'!$E$19</f>
        <v>64.784099999999995</v>
      </c>
    </row>
    <row r="33" spans="1:14" x14ac:dyDescent="0.25">
      <c r="A33">
        <v>2015</v>
      </c>
      <c r="B33" t="s">
        <v>19</v>
      </c>
      <c r="C33" t="s">
        <v>11</v>
      </c>
      <c r="F33" t="s">
        <v>12</v>
      </c>
      <c r="G33">
        <v>124.7</v>
      </c>
      <c r="H33">
        <v>122.4</v>
      </c>
      <c r="I33">
        <v>123.6</v>
      </c>
      <c r="J33" t="s">
        <v>13</v>
      </c>
      <c r="L33" s="2">
        <f>G33*'Linking Factor'!$C$19</f>
        <v>65.118340000000003</v>
      </c>
      <c r="M33" s="2">
        <f>H33*'Linking Factor'!$D$19</f>
        <v>65.116800000000012</v>
      </c>
      <c r="N33" s="2">
        <f>I33*'Linking Factor'!$E$19</f>
        <v>65.10011999999999</v>
      </c>
    </row>
    <row r="34" spans="1:14" x14ac:dyDescent="0.25">
      <c r="A34">
        <v>2015</v>
      </c>
      <c r="B34" t="s">
        <v>20</v>
      </c>
      <c r="C34" t="s">
        <v>11</v>
      </c>
      <c r="F34" t="s">
        <v>12</v>
      </c>
      <c r="G34">
        <v>126.1</v>
      </c>
      <c r="H34">
        <v>123.2</v>
      </c>
      <c r="I34">
        <v>124.8</v>
      </c>
      <c r="J34" t="s">
        <v>13</v>
      </c>
      <c r="L34" s="2">
        <f>G34*'Linking Factor'!$C$19</f>
        <v>65.849419999999995</v>
      </c>
      <c r="M34" s="2">
        <f>H34*'Linking Factor'!$D$19</f>
        <v>65.542400000000001</v>
      </c>
      <c r="N34" s="2">
        <f>I34*'Linking Factor'!$E$19</f>
        <v>65.732159999999993</v>
      </c>
    </row>
    <row r="35" spans="1:14" x14ac:dyDescent="0.25">
      <c r="A35">
        <v>2015</v>
      </c>
      <c r="B35" t="s">
        <v>21</v>
      </c>
      <c r="C35" t="s">
        <v>11</v>
      </c>
      <c r="F35" t="s">
        <v>12</v>
      </c>
      <c r="G35">
        <v>127</v>
      </c>
      <c r="H35">
        <v>123.5</v>
      </c>
      <c r="I35">
        <v>125.4</v>
      </c>
      <c r="J35" t="s">
        <v>13</v>
      </c>
      <c r="L35" s="2">
        <f>G35*'Linking Factor'!$C$19</f>
        <v>66.319400000000002</v>
      </c>
      <c r="M35" s="2">
        <f>H35*'Linking Factor'!$D$19</f>
        <v>65.701999999999998</v>
      </c>
      <c r="N35" s="2">
        <f>I35*'Linking Factor'!$E$19</f>
        <v>66.048180000000002</v>
      </c>
    </row>
    <row r="36" spans="1:14" x14ac:dyDescent="0.25">
      <c r="A36">
        <v>2015</v>
      </c>
      <c r="B36" t="s">
        <v>22</v>
      </c>
      <c r="C36" t="s">
        <v>11</v>
      </c>
      <c r="F36" t="s">
        <v>12</v>
      </c>
      <c r="G36">
        <v>127.7</v>
      </c>
      <c r="H36">
        <v>124.2</v>
      </c>
      <c r="I36">
        <v>126.1</v>
      </c>
      <c r="J36" t="s">
        <v>13</v>
      </c>
      <c r="L36" s="2">
        <f>G36*'Linking Factor'!$C$19</f>
        <v>66.684939999999997</v>
      </c>
      <c r="M36" s="2">
        <f>H36*'Linking Factor'!$D$19</f>
        <v>66.074400000000011</v>
      </c>
      <c r="N36" s="2">
        <f>I36*'Linking Factor'!$E$19</f>
        <v>66.416869999999989</v>
      </c>
    </row>
    <row r="37" spans="1:14" x14ac:dyDescent="0.25">
      <c r="A37">
        <v>2015</v>
      </c>
      <c r="B37" t="s">
        <v>23</v>
      </c>
      <c r="C37" t="s">
        <v>11</v>
      </c>
      <c r="F37" t="s">
        <v>12</v>
      </c>
      <c r="G37">
        <v>128.30000000000001</v>
      </c>
      <c r="H37">
        <v>124.6</v>
      </c>
      <c r="I37">
        <v>126.6</v>
      </c>
      <c r="J37" t="s">
        <v>13</v>
      </c>
      <c r="L37" s="2">
        <f>G37*'Linking Factor'!$C$19</f>
        <v>66.998260000000002</v>
      </c>
      <c r="M37" s="2">
        <f>H37*'Linking Factor'!$D$19</f>
        <v>66.287199999999999</v>
      </c>
      <c r="N37" s="2">
        <f>I37*'Linking Factor'!$E$19</f>
        <v>66.680219999999991</v>
      </c>
    </row>
    <row r="38" spans="1:14" x14ac:dyDescent="0.25">
      <c r="A38">
        <v>2015</v>
      </c>
      <c r="B38" t="s">
        <v>24</v>
      </c>
      <c r="C38" t="s">
        <v>11</v>
      </c>
      <c r="F38" t="s">
        <v>12</v>
      </c>
      <c r="G38">
        <v>127.9</v>
      </c>
      <c r="H38">
        <v>124</v>
      </c>
      <c r="I38">
        <v>126.1</v>
      </c>
      <c r="J38" t="s">
        <v>13</v>
      </c>
      <c r="L38" s="2">
        <f>G38*'Linking Factor'!$C$19</f>
        <v>66.789380000000008</v>
      </c>
      <c r="M38" s="2">
        <f>H38*'Linking Factor'!$D$19</f>
        <v>65.968000000000004</v>
      </c>
      <c r="N38" s="2">
        <f>I38*'Linking Factor'!$E$19</f>
        <v>66.416869999999989</v>
      </c>
    </row>
    <row r="39" spans="1:14" x14ac:dyDescent="0.25">
      <c r="A39">
        <v>2016</v>
      </c>
      <c r="B39" t="s">
        <v>10</v>
      </c>
      <c r="C39" t="s">
        <v>11</v>
      </c>
      <c r="F39" t="s">
        <v>12</v>
      </c>
      <c r="G39">
        <v>128.1</v>
      </c>
      <c r="H39">
        <v>124.2</v>
      </c>
      <c r="I39">
        <v>126.3</v>
      </c>
      <c r="J39" t="s">
        <v>13</v>
      </c>
      <c r="L39" s="2">
        <f>G39*'Linking Factor'!$C$19</f>
        <v>66.893819999999991</v>
      </c>
      <c r="M39" s="2">
        <f>H39*'Linking Factor'!$D$19</f>
        <v>66.074400000000011</v>
      </c>
      <c r="N39" s="2">
        <f>I39*'Linking Factor'!$E$19</f>
        <v>66.522209999999987</v>
      </c>
    </row>
    <row r="40" spans="1:14" x14ac:dyDescent="0.25">
      <c r="A40">
        <v>2016</v>
      </c>
      <c r="B40" t="s">
        <v>14</v>
      </c>
      <c r="C40" t="s">
        <v>11</v>
      </c>
      <c r="F40" t="s">
        <v>12</v>
      </c>
      <c r="G40">
        <v>127.9</v>
      </c>
      <c r="H40">
        <v>123.8</v>
      </c>
      <c r="I40">
        <v>126</v>
      </c>
      <c r="J40" t="s">
        <v>13</v>
      </c>
      <c r="L40" s="2">
        <f>G40*'Linking Factor'!$C$19</f>
        <v>66.789380000000008</v>
      </c>
      <c r="M40" s="2">
        <f>H40*'Linking Factor'!$D$19</f>
        <v>65.861599999999996</v>
      </c>
      <c r="N40" s="2">
        <f>I40*'Linking Factor'!$E$19</f>
        <v>66.364199999999997</v>
      </c>
    </row>
    <row r="41" spans="1:14" x14ac:dyDescent="0.25">
      <c r="A41">
        <v>2016</v>
      </c>
      <c r="B41" t="s">
        <v>15</v>
      </c>
      <c r="C41" t="s">
        <v>11</v>
      </c>
      <c r="F41" t="s">
        <v>12</v>
      </c>
      <c r="G41">
        <v>128</v>
      </c>
      <c r="H41">
        <v>123.8</v>
      </c>
      <c r="I41">
        <v>126</v>
      </c>
      <c r="J41" t="s">
        <v>13</v>
      </c>
      <c r="L41" s="2">
        <f>G41*'Linking Factor'!$C$19</f>
        <v>66.8416</v>
      </c>
      <c r="M41" s="2">
        <f>H41*'Linking Factor'!$D$19</f>
        <v>65.861599999999996</v>
      </c>
      <c r="N41" s="2">
        <f>I41*'Linking Factor'!$E$19</f>
        <v>66.364199999999997</v>
      </c>
    </row>
    <row r="42" spans="1:14" x14ac:dyDescent="0.25">
      <c r="A42">
        <v>2016</v>
      </c>
      <c r="B42" t="s">
        <v>16</v>
      </c>
      <c r="C42" t="s">
        <v>11</v>
      </c>
      <c r="F42" t="s">
        <v>12</v>
      </c>
      <c r="G42">
        <v>129</v>
      </c>
      <c r="H42">
        <v>125.3</v>
      </c>
      <c r="I42">
        <v>127.3</v>
      </c>
      <c r="J42" t="s">
        <v>13</v>
      </c>
      <c r="L42" s="2">
        <f>G42*'Linking Factor'!$C$19</f>
        <v>67.363799999999998</v>
      </c>
      <c r="M42" s="2">
        <f>H42*'Linking Factor'!$D$19</f>
        <v>66.659599999999998</v>
      </c>
      <c r="N42" s="2">
        <f>I42*'Linking Factor'!$E$19</f>
        <v>67.048909999999992</v>
      </c>
    </row>
    <row r="43" spans="1:14" x14ac:dyDescent="0.25">
      <c r="A43">
        <v>2016</v>
      </c>
      <c r="B43" t="s">
        <v>17</v>
      </c>
      <c r="C43" t="s">
        <v>11</v>
      </c>
      <c r="F43" t="s">
        <v>12</v>
      </c>
      <c r="G43">
        <v>130.30000000000001</v>
      </c>
      <c r="H43">
        <v>126.6</v>
      </c>
      <c r="I43">
        <v>128.6</v>
      </c>
      <c r="J43" t="s">
        <v>13</v>
      </c>
      <c r="L43" s="2">
        <f>G43*'Linking Factor'!$C$19</f>
        <v>68.042660000000012</v>
      </c>
      <c r="M43" s="2">
        <f>H43*'Linking Factor'!$D$19</f>
        <v>67.351200000000006</v>
      </c>
      <c r="N43" s="2">
        <f>I43*'Linking Factor'!$E$19</f>
        <v>67.733619999999988</v>
      </c>
    </row>
    <row r="44" spans="1:14" x14ac:dyDescent="0.25">
      <c r="A44">
        <v>2016</v>
      </c>
      <c r="B44" t="s">
        <v>18</v>
      </c>
      <c r="C44" t="s">
        <v>11</v>
      </c>
      <c r="F44" t="s">
        <v>12</v>
      </c>
      <c r="G44">
        <v>131.9</v>
      </c>
      <c r="H44">
        <v>128.1</v>
      </c>
      <c r="I44">
        <v>130.1</v>
      </c>
      <c r="J44" t="s">
        <v>13</v>
      </c>
      <c r="L44" s="2">
        <f>G44*'Linking Factor'!$C$19</f>
        <v>68.87818</v>
      </c>
      <c r="M44" s="2">
        <f>H44*'Linking Factor'!$D$19</f>
        <v>68.149200000000008</v>
      </c>
      <c r="N44" s="2">
        <f>I44*'Linking Factor'!$E$19</f>
        <v>68.523669999999996</v>
      </c>
    </row>
    <row r="45" spans="1:14" x14ac:dyDescent="0.25">
      <c r="A45">
        <v>2016</v>
      </c>
      <c r="B45" t="s">
        <v>19</v>
      </c>
      <c r="C45" t="s">
        <v>11</v>
      </c>
      <c r="F45" t="s">
        <v>12</v>
      </c>
      <c r="G45">
        <v>133</v>
      </c>
      <c r="H45">
        <v>129</v>
      </c>
      <c r="I45">
        <v>131.1</v>
      </c>
      <c r="J45" t="s">
        <v>13</v>
      </c>
      <c r="L45" s="2">
        <f>G45*'Linking Factor'!$C$19</f>
        <v>69.452600000000004</v>
      </c>
      <c r="M45" s="2">
        <f>H45*'Linking Factor'!$D$19</f>
        <v>68.628</v>
      </c>
      <c r="N45" s="2">
        <f>I45*'Linking Factor'!$E$19</f>
        <v>69.050369999999987</v>
      </c>
    </row>
    <row r="46" spans="1:14" x14ac:dyDescent="0.25">
      <c r="A46">
        <v>2016</v>
      </c>
      <c r="B46" t="s">
        <v>20</v>
      </c>
      <c r="C46" t="s">
        <v>11</v>
      </c>
      <c r="F46" t="s">
        <v>12</v>
      </c>
      <c r="G46">
        <v>133.5</v>
      </c>
      <c r="H46">
        <v>128.4</v>
      </c>
      <c r="I46">
        <v>131.1</v>
      </c>
      <c r="J46" t="s">
        <v>13</v>
      </c>
      <c r="L46" s="2">
        <f>G46*'Linking Factor'!$C$19</f>
        <v>69.713700000000003</v>
      </c>
      <c r="M46" s="2">
        <f>H46*'Linking Factor'!$D$19</f>
        <v>68.308800000000005</v>
      </c>
      <c r="N46" s="2">
        <f>I46*'Linking Factor'!$E$19</f>
        <v>69.050369999999987</v>
      </c>
    </row>
    <row r="47" spans="1:14" x14ac:dyDescent="0.25">
      <c r="A47">
        <v>2016</v>
      </c>
      <c r="B47" t="s">
        <v>21</v>
      </c>
      <c r="C47" t="s">
        <v>11</v>
      </c>
      <c r="F47" t="s">
        <v>12</v>
      </c>
      <c r="G47">
        <v>133.4</v>
      </c>
      <c r="H47">
        <v>128</v>
      </c>
      <c r="I47">
        <v>130.9</v>
      </c>
      <c r="J47" t="s">
        <v>13</v>
      </c>
      <c r="L47" s="2">
        <f>G47*'Linking Factor'!$C$19</f>
        <v>69.661479999999997</v>
      </c>
      <c r="M47" s="2">
        <f>H47*'Linking Factor'!$D$19</f>
        <v>68.096000000000004</v>
      </c>
      <c r="N47" s="2">
        <f>I47*'Linking Factor'!$E$19</f>
        <v>68.945030000000003</v>
      </c>
    </row>
    <row r="48" spans="1:14" x14ac:dyDescent="0.25">
      <c r="A48">
        <v>2016</v>
      </c>
      <c r="B48" t="s">
        <v>22</v>
      </c>
      <c r="C48" t="s">
        <v>11</v>
      </c>
      <c r="F48" t="s">
        <v>12</v>
      </c>
      <c r="G48">
        <v>133.80000000000001</v>
      </c>
      <c r="H48">
        <v>128.6</v>
      </c>
      <c r="I48">
        <v>131.4</v>
      </c>
      <c r="J48" t="s">
        <v>13</v>
      </c>
      <c r="L48" s="2">
        <f>G48*'Linking Factor'!$C$19</f>
        <v>69.870360000000005</v>
      </c>
      <c r="M48" s="2">
        <f>H48*'Linking Factor'!$D$19</f>
        <v>68.415199999999999</v>
      </c>
      <c r="N48" s="2">
        <f>I48*'Linking Factor'!$E$19</f>
        <v>69.208379999999991</v>
      </c>
    </row>
    <row r="49" spans="1:14" x14ac:dyDescent="0.25">
      <c r="A49">
        <v>2016</v>
      </c>
      <c r="B49" t="s">
        <v>23</v>
      </c>
      <c r="C49" t="s">
        <v>11</v>
      </c>
      <c r="F49" t="s">
        <v>12</v>
      </c>
      <c r="G49">
        <v>133.6</v>
      </c>
      <c r="H49">
        <v>128.5</v>
      </c>
      <c r="I49">
        <v>131.19999999999999</v>
      </c>
      <c r="J49" t="s">
        <v>13</v>
      </c>
      <c r="L49" s="2">
        <f>G49*'Linking Factor'!$C$19</f>
        <v>69.765919999999994</v>
      </c>
      <c r="M49" s="2">
        <f>H49*'Linking Factor'!$D$19</f>
        <v>68.362000000000009</v>
      </c>
      <c r="N49" s="2">
        <f>I49*'Linking Factor'!$E$19</f>
        <v>69.103039999999993</v>
      </c>
    </row>
    <row r="50" spans="1:14" x14ac:dyDescent="0.25">
      <c r="A50">
        <v>2016</v>
      </c>
      <c r="B50" t="s">
        <v>24</v>
      </c>
      <c r="C50" t="s">
        <v>11</v>
      </c>
      <c r="F50" t="s">
        <v>12</v>
      </c>
      <c r="G50">
        <v>132.80000000000001</v>
      </c>
      <c r="H50">
        <v>127.6</v>
      </c>
      <c r="I50">
        <v>130.4</v>
      </c>
      <c r="J50" t="s">
        <v>13</v>
      </c>
      <c r="L50" s="2">
        <f>G50*'Linking Factor'!$C$19</f>
        <v>69.348160000000007</v>
      </c>
      <c r="M50" s="2">
        <f>H50*'Linking Factor'!$D$19</f>
        <v>67.883200000000002</v>
      </c>
      <c r="N50" s="2">
        <f>I50*'Linking Factor'!$E$19</f>
        <v>68.68168</v>
      </c>
    </row>
    <row r="51" spans="1:14" x14ac:dyDescent="0.25">
      <c r="A51">
        <v>2017</v>
      </c>
      <c r="B51" t="s">
        <v>10</v>
      </c>
      <c r="C51" t="s">
        <v>11</v>
      </c>
      <c r="F51" t="s">
        <v>12</v>
      </c>
      <c r="G51">
        <v>132.4</v>
      </c>
      <c r="H51">
        <v>127.8</v>
      </c>
      <c r="I51">
        <v>130.30000000000001</v>
      </c>
      <c r="J51" t="s">
        <v>13</v>
      </c>
      <c r="L51" s="2">
        <f>G51*'Linking Factor'!$C$19</f>
        <v>69.139279999999999</v>
      </c>
      <c r="M51" s="2">
        <f>H51*'Linking Factor'!$D$19</f>
        <v>67.989599999999996</v>
      </c>
      <c r="N51" s="2">
        <f>I51*'Linking Factor'!$E$19</f>
        <v>68.629009999999994</v>
      </c>
    </row>
    <row r="52" spans="1:14" x14ac:dyDescent="0.25">
      <c r="A52">
        <v>2017</v>
      </c>
      <c r="B52" t="s">
        <v>14</v>
      </c>
      <c r="C52" t="s">
        <v>11</v>
      </c>
      <c r="F52" t="s">
        <v>12</v>
      </c>
      <c r="G52">
        <v>132.6</v>
      </c>
      <c r="H52">
        <v>128.19999999999999</v>
      </c>
      <c r="I52">
        <v>130.6</v>
      </c>
      <c r="J52" t="s">
        <v>13</v>
      </c>
      <c r="L52" s="2">
        <f>G52*'Linking Factor'!$C$19</f>
        <v>69.243719999999996</v>
      </c>
      <c r="M52" s="2">
        <f>H52*'Linking Factor'!$D$19</f>
        <v>68.202399999999997</v>
      </c>
      <c r="N52" s="2">
        <f>I52*'Linking Factor'!$E$19</f>
        <v>68.787019999999984</v>
      </c>
    </row>
    <row r="53" spans="1:14" x14ac:dyDescent="0.25">
      <c r="A53">
        <v>2017</v>
      </c>
      <c r="B53" t="s">
        <v>15</v>
      </c>
      <c r="C53" t="s">
        <v>11</v>
      </c>
      <c r="F53" t="s">
        <v>12</v>
      </c>
      <c r="G53">
        <v>132.80000000000001</v>
      </c>
      <c r="H53">
        <v>128.69999999999999</v>
      </c>
      <c r="I53">
        <v>130.9</v>
      </c>
      <c r="J53" t="s">
        <v>13</v>
      </c>
      <c r="L53" s="2">
        <f>G53*'Linking Factor'!$C$19</f>
        <v>69.348160000000007</v>
      </c>
      <c r="M53" s="2">
        <f>H53*'Linking Factor'!$D$19</f>
        <v>68.468400000000003</v>
      </c>
      <c r="N53" s="2">
        <f>I53*'Linking Factor'!$E$19</f>
        <v>68.945030000000003</v>
      </c>
    </row>
    <row r="54" spans="1:14" x14ac:dyDescent="0.25">
      <c r="A54">
        <v>2017</v>
      </c>
      <c r="B54" t="s">
        <v>16</v>
      </c>
      <c r="C54" t="s">
        <v>11</v>
      </c>
      <c r="F54" t="s">
        <v>12</v>
      </c>
      <c r="G54">
        <v>132.9</v>
      </c>
      <c r="H54">
        <v>129.1</v>
      </c>
      <c r="I54">
        <v>131.1</v>
      </c>
      <c r="J54" t="s">
        <v>13</v>
      </c>
      <c r="L54" s="2">
        <f>G54*'Linking Factor'!$C$19</f>
        <v>69.400379999999998</v>
      </c>
      <c r="M54" s="2">
        <f>H54*'Linking Factor'!$D$19</f>
        <v>68.681200000000004</v>
      </c>
      <c r="N54" s="2">
        <f>I54*'Linking Factor'!$E$19</f>
        <v>69.050369999999987</v>
      </c>
    </row>
    <row r="55" spans="1:14" x14ac:dyDescent="0.25">
      <c r="A55">
        <v>2017</v>
      </c>
      <c r="B55" t="s">
        <v>17</v>
      </c>
      <c r="C55" t="s">
        <v>11</v>
      </c>
      <c r="F55" t="s">
        <v>12</v>
      </c>
      <c r="G55">
        <v>133.30000000000001</v>
      </c>
      <c r="H55">
        <v>129.30000000000001</v>
      </c>
      <c r="I55">
        <v>131.4</v>
      </c>
      <c r="J55" t="s">
        <v>13</v>
      </c>
      <c r="L55" s="2">
        <f>G55*'Linking Factor'!$C$19</f>
        <v>69.609260000000006</v>
      </c>
      <c r="M55" s="2">
        <f>H55*'Linking Factor'!$D$19</f>
        <v>68.787600000000012</v>
      </c>
      <c r="N55" s="2">
        <f>I55*'Linking Factor'!$E$19</f>
        <v>69.208379999999991</v>
      </c>
    </row>
    <row r="56" spans="1:14" x14ac:dyDescent="0.25">
      <c r="A56">
        <v>2017</v>
      </c>
      <c r="B56" t="s">
        <v>18</v>
      </c>
      <c r="C56" t="s">
        <v>11</v>
      </c>
      <c r="F56" t="s">
        <v>12</v>
      </c>
      <c r="G56">
        <v>133.9</v>
      </c>
      <c r="H56">
        <v>129.9</v>
      </c>
      <c r="I56">
        <v>132</v>
      </c>
      <c r="J56" t="s">
        <v>13</v>
      </c>
      <c r="L56" s="2">
        <f>G56*'Linking Factor'!$C$19</f>
        <v>69.922579999999996</v>
      </c>
      <c r="M56" s="2">
        <f>H56*'Linking Factor'!$D$19</f>
        <v>69.106800000000007</v>
      </c>
      <c r="N56" s="2">
        <f>I56*'Linking Factor'!$E$19</f>
        <v>69.524399999999986</v>
      </c>
    </row>
    <row r="57" spans="1:14" x14ac:dyDescent="0.25">
      <c r="A57">
        <v>2017</v>
      </c>
      <c r="B57" t="s">
        <v>19</v>
      </c>
      <c r="C57" t="s">
        <v>11</v>
      </c>
      <c r="F57" t="s">
        <v>12</v>
      </c>
      <c r="G57">
        <v>136.19999999999999</v>
      </c>
      <c r="H57">
        <v>131.80000000000001</v>
      </c>
      <c r="I57">
        <v>134.19999999999999</v>
      </c>
      <c r="J57" t="s">
        <v>13</v>
      </c>
      <c r="L57" s="2">
        <f>G57*'Linking Factor'!$C$19</f>
        <v>71.123639999999995</v>
      </c>
      <c r="M57" s="2">
        <f>H57*'Linking Factor'!$D$19</f>
        <v>70.11760000000001</v>
      </c>
      <c r="N57" s="2">
        <f>I57*'Linking Factor'!$E$19</f>
        <v>70.68313999999998</v>
      </c>
    </row>
    <row r="58" spans="1:14" x14ac:dyDescent="0.25">
      <c r="A58">
        <v>2017</v>
      </c>
      <c r="B58" t="s">
        <v>20</v>
      </c>
      <c r="C58" t="s">
        <v>11</v>
      </c>
      <c r="F58" t="s">
        <v>12</v>
      </c>
      <c r="G58">
        <v>137.80000000000001</v>
      </c>
      <c r="H58">
        <v>132.69999999999999</v>
      </c>
      <c r="I58">
        <v>135.4</v>
      </c>
      <c r="J58" t="s">
        <v>13</v>
      </c>
      <c r="L58" s="2">
        <f>G58*'Linking Factor'!$C$19</f>
        <v>71.959160000000011</v>
      </c>
      <c r="M58" s="2">
        <f>H58*'Linking Factor'!$D$19</f>
        <v>70.596400000000003</v>
      </c>
      <c r="N58" s="2">
        <f>I58*'Linking Factor'!$E$19</f>
        <v>71.315179999999998</v>
      </c>
    </row>
    <row r="59" spans="1:14" x14ac:dyDescent="0.25">
      <c r="A59">
        <v>2017</v>
      </c>
      <c r="B59" t="s">
        <v>21</v>
      </c>
      <c r="C59" t="s">
        <v>11</v>
      </c>
      <c r="F59" t="s">
        <v>12</v>
      </c>
      <c r="G59">
        <v>137.6</v>
      </c>
      <c r="H59">
        <v>132.4</v>
      </c>
      <c r="I59">
        <v>135.19999999999999</v>
      </c>
      <c r="J59" t="s">
        <v>13</v>
      </c>
      <c r="L59" s="2">
        <f>G59*'Linking Factor'!$C$19</f>
        <v>71.85472</v>
      </c>
      <c r="M59" s="2">
        <f>H59*'Linking Factor'!$D$19</f>
        <v>70.436800000000005</v>
      </c>
      <c r="N59" s="2">
        <f>I59*'Linking Factor'!$E$19</f>
        <v>71.209839999999986</v>
      </c>
    </row>
    <row r="60" spans="1:14" x14ac:dyDescent="0.25">
      <c r="A60">
        <v>2017</v>
      </c>
      <c r="B60" t="s">
        <v>22</v>
      </c>
      <c r="C60" t="s">
        <v>11</v>
      </c>
      <c r="F60" t="s">
        <v>12</v>
      </c>
      <c r="G60">
        <v>138.30000000000001</v>
      </c>
      <c r="H60">
        <v>133.5</v>
      </c>
      <c r="I60">
        <v>136.1</v>
      </c>
      <c r="J60" t="s">
        <v>13</v>
      </c>
      <c r="L60" s="2">
        <f>G60*'Linking Factor'!$C$19</f>
        <v>72.22026000000001</v>
      </c>
      <c r="M60" s="2">
        <f>H60*'Linking Factor'!$D$19</f>
        <v>71.022000000000006</v>
      </c>
      <c r="N60" s="2">
        <f>I60*'Linking Factor'!$E$19</f>
        <v>71.683869999999985</v>
      </c>
    </row>
    <row r="61" spans="1:14" x14ac:dyDescent="0.25">
      <c r="A61">
        <v>2017</v>
      </c>
      <c r="B61" t="s">
        <v>23</v>
      </c>
      <c r="C61" t="s">
        <v>11</v>
      </c>
      <c r="F61" t="s">
        <v>12</v>
      </c>
      <c r="G61">
        <v>140</v>
      </c>
      <c r="H61">
        <v>134.80000000000001</v>
      </c>
      <c r="I61">
        <v>137.6</v>
      </c>
      <c r="J61" t="s">
        <v>13</v>
      </c>
      <c r="L61" s="2">
        <f>G61*'Linking Factor'!$C$19</f>
        <v>73.108000000000004</v>
      </c>
      <c r="M61" s="2">
        <f>H61*'Linking Factor'!$D$19</f>
        <v>71.713600000000014</v>
      </c>
      <c r="N61" s="2">
        <f>I61*'Linking Factor'!$E$19</f>
        <v>72.473919999999993</v>
      </c>
    </row>
    <row r="62" spans="1:14" x14ac:dyDescent="0.25">
      <c r="A62">
        <v>2017</v>
      </c>
      <c r="B62" t="s">
        <v>24</v>
      </c>
      <c r="C62" t="s">
        <v>11</v>
      </c>
      <c r="F62" t="s">
        <v>12</v>
      </c>
      <c r="G62">
        <v>139.80000000000001</v>
      </c>
      <c r="H62">
        <v>134.1</v>
      </c>
      <c r="I62">
        <v>137.19999999999999</v>
      </c>
      <c r="J62" t="s">
        <v>13</v>
      </c>
      <c r="L62" s="2">
        <f>G62*'Linking Factor'!$C$19</f>
        <v>73.003560000000007</v>
      </c>
      <c r="M62" s="2">
        <f>H62*'Linking Factor'!$D$19</f>
        <v>71.341200000000001</v>
      </c>
      <c r="N62" s="2">
        <f>I62*'Linking Factor'!$E$19</f>
        <v>72.263239999999982</v>
      </c>
    </row>
    <row r="63" spans="1:14" x14ac:dyDescent="0.25">
      <c r="A63">
        <v>2018</v>
      </c>
      <c r="B63" t="s">
        <v>10</v>
      </c>
      <c r="C63" t="s">
        <v>11</v>
      </c>
      <c r="F63" t="s">
        <v>12</v>
      </c>
      <c r="G63">
        <v>139.30000000000001</v>
      </c>
      <c r="H63">
        <v>134.1</v>
      </c>
      <c r="I63">
        <v>136.9</v>
      </c>
      <c r="J63" t="s">
        <v>13</v>
      </c>
      <c r="L63" s="2">
        <f>G63*'Linking Factor'!$C$19</f>
        <v>72.742460000000008</v>
      </c>
      <c r="M63" s="2">
        <f>H63*'Linking Factor'!$D$19</f>
        <v>71.341200000000001</v>
      </c>
      <c r="N63" s="2">
        <f>I63*'Linking Factor'!$E$19</f>
        <v>72.105229999999992</v>
      </c>
    </row>
    <row r="64" spans="1:14" x14ac:dyDescent="0.25">
      <c r="A64">
        <v>2018</v>
      </c>
      <c r="B64" t="s">
        <v>14</v>
      </c>
      <c r="C64" t="s">
        <v>11</v>
      </c>
      <c r="F64" t="s">
        <v>12</v>
      </c>
      <c r="G64">
        <v>138.5</v>
      </c>
      <c r="H64">
        <v>134</v>
      </c>
      <c r="I64">
        <v>136.4</v>
      </c>
      <c r="J64" t="s">
        <v>13</v>
      </c>
      <c r="L64" s="2">
        <f>G64*'Linking Factor'!$C$19</f>
        <v>72.324699999999993</v>
      </c>
      <c r="M64" s="2">
        <f>H64*'Linking Factor'!$D$19</f>
        <v>71.288000000000011</v>
      </c>
      <c r="N64" s="2">
        <f>I64*'Linking Factor'!$E$19</f>
        <v>71.841879999999989</v>
      </c>
    </row>
    <row r="65" spans="1:14" x14ac:dyDescent="0.25">
      <c r="A65">
        <v>2018</v>
      </c>
      <c r="B65" t="s">
        <v>15</v>
      </c>
      <c r="C65" t="s">
        <v>11</v>
      </c>
      <c r="F65" t="s">
        <v>12</v>
      </c>
      <c r="G65">
        <v>138.69999999999999</v>
      </c>
      <c r="H65">
        <v>134</v>
      </c>
      <c r="I65">
        <v>136.5</v>
      </c>
      <c r="J65" t="s">
        <v>13</v>
      </c>
      <c r="L65" s="2">
        <f>G65*'Linking Factor'!$C$19</f>
        <v>72.42913999999999</v>
      </c>
      <c r="M65" s="2">
        <f>H65*'Linking Factor'!$D$19</f>
        <v>71.288000000000011</v>
      </c>
      <c r="N65" s="2">
        <f>I65*'Linking Factor'!$E$19</f>
        <v>71.894549999999995</v>
      </c>
    </row>
    <row r="66" spans="1:14" x14ac:dyDescent="0.25">
      <c r="A66">
        <v>2018</v>
      </c>
      <c r="B66" t="s">
        <v>16</v>
      </c>
      <c r="C66" t="s">
        <v>11</v>
      </c>
      <c r="F66" t="s">
        <v>12</v>
      </c>
      <c r="G66">
        <v>139.1</v>
      </c>
      <c r="H66">
        <v>134.80000000000001</v>
      </c>
      <c r="I66">
        <v>137.1</v>
      </c>
      <c r="J66" t="s">
        <v>13</v>
      </c>
      <c r="L66" s="2">
        <f>G66*'Linking Factor'!$C$19</f>
        <v>72.638019999999997</v>
      </c>
      <c r="M66" s="2">
        <f>H66*'Linking Factor'!$D$19</f>
        <v>71.713600000000014</v>
      </c>
      <c r="N66" s="2">
        <f>I66*'Linking Factor'!$E$19</f>
        <v>72.21056999999999</v>
      </c>
    </row>
    <row r="67" spans="1:14" x14ac:dyDescent="0.25">
      <c r="A67">
        <v>2018</v>
      </c>
      <c r="B67" t="s">
        <v>17</v>
      </c>
      <c r="C67" t="s">
        <v>11</v>
      </c>
      <c r="F67" t="s">
        <v>12</v>
      </c>
      <c r="G67">
        <v>139.80000000000001</v>
      </c>
      <c r="H67">
        <v>135.4</v>
      </c>
      <c r="I67">
        <v>137.80000000000001</v>
      </c>
      <c r="J67" t="s">
        <v>13</v>
      </c>
      <c r="L67" s="2">
        <f>G67*'Linking Factor'!$C$19</f>
        <v>73.003560000000007</v>
      </c>
      <c r="M67" s="2">
        <f>H67*'Linking Factor'!$D$19</f>
        <v>72.032800000000009</v>
      </c>
      <c r="N67" s="2">
        <f>I67*'Linking Factor'!$E$19</f>
        <v>72.579260000000005</v>
      </c>
    </row>
    <row r="68" spans="1:14" x14ac:dyDescent="0.25">
      <c r="A68">
        <v>2018</v>
      </c>
      <c r="B68" t="s">
        <v>18</v>
      </c>
      <c r="C68" t="s">
        <v>11</v>
      </c>
      <c r="F68" t="s">
        <v>12</v>
      </c>
      <c r="G68">
        <v>140.5</v>
      </c>
      <c r="H68">
        <v>136.19999999999999</v>
      </c>
      <c r="I68">
        <v>138.5</v>
      </c>
      <c r="J68" t="s">
        <v>13</v>
      </c>
      <c r="L68" s="2">
        <f>G68*'Linking Factor'!$C$19</f>
        <v>73.369100000000003</v>
      </c>
      <c r="M68" s="2">
        <f>H68*'Linking Factor'!$D$19</f>
        <v>72.458399999999997</v>
      </c>
      <c r="N68" s="2">
        <f>I68*'Linking Factor'!$E$19</f>
        <v>72.947949999999992</v>
      </c>
    </row>
    <row r="69" spans="1:14" x14ac:dyDescent="0.25">
      <c r="A69">
        <v>2018</v>
      </c>
      <c r="B69" t="s">
        <v>19</v>
      </c>
      <c r="C69" t="s">
        <v>11</v>
      </c>
      <c r="F69" t="s">
        <v>12</v>
      </c>
      <c r="G69">
        <v>141.80000000000001</v>
      </c>
      <c r="H69">
        <v>137.5</v>
      </c>
      <c r="I69">
        <v>139.80000000000001</v>
      </c>
      <c r="J69" t="s">
        <v>13</v>
      </c>
      <c r="L69" s="2">
        <f>G69*'Linking Factor'!$C$19</f>
        <v>74.047960000000003</v>
      </c>
      <c r="M69" s="2">
        <f>H69*'Linking Factor'!$D$19</f>
        <v>73.150000000000006</v>
      </c>
      <c r="N69" s="2">
        <f>I69*'Linking Factor'!$E$19</f>
        <v>73.632660000000001</v>
      </c>
    </row>
    <row r="70" spans="1:14" x14ac:dyDescent="0.25">
      <c r="A70">
        <v>2018</v>
      </c>
      <c r="B70" t="s">
        <v>20</v>
      </c>
      <c r="C70" t="s">
        <v>11</v>
      </c>
      <c r="F70" t="s">
        <v>12</v>
      </c>
      <c r="G70">
        <v>142.5</v>
      </c>
      <c r="H70">
        <v>138</v>
      </c>
      <c r="I70">
        <v>140.4</v>
      </c>
      <c r="J70" t="s">
        <v>13</v>
      </c>
      <c r="L70" s="2">
        <f>G70*'Linking Factor'!$C$19</f>
        <v>74.413499999999999</v>
      </c>
      <c r="M70" s="2">
        <f>H70*'Linking Factor'!$D$19</f>
        <v>73.415999999999997</v>
      </c>
      <c r="N70" s="2">
        <f>I70*'Linking Factor'!$E$19</f>
        <v>73.948679999999996</v>
      </c>
    </row>
    <row r="71" spans="1:14" x14ac:dyDescent="0.25">
      <c r="A71">
        <v>2018</v>
      </c>
      <c r="B71" t="s">
        <v>21</v>
      </c>
      <c r="C71" t="s">
        <v>11</v>
      </c>
      <c r="F71" t="s">
        <v>12</v>
      </c>
      <c r="G71">
        <v>142.1</v>
      </c>
      <c r="H71">
        <v>138.1</v>
      </c>
      <c r="I71">
        <v>140.19999999999999</v>
      </c>
      <c r="J71" t="s">
        <v>13</v>
      </c>
      <c r="L71" s="2">
        <f>G71*'Linking Factor'!$C$19</f>
        <v>74.204619999999991</v>
      </c>
      <c r="M71" s="2">
        <f>H71*'Linking Factor'!$D$19</f>
        <v>73.469200000000001</v>
      </c>
      <c r="N71" s="2">
        <f>I71*'Linking Factor'!$E$19</f>
        <v>73.843339999999984</v>
      </c>
    </row>
    <row r="72" spans="1:14" x14ac:dyDescent="0.25">
      <c r="A72">
        <v>2018</v>
      </c>
      <c r="B72" t="s">
        <v>22</v>
      </c>
      <c r="C72" t="s">
        <v>11</v>
      </c>
      <c r="F72" t="s">
        <v>12</v>
      </c>
      <c r="G72">
        <v>142.19999999999999</v>
      </c>
      <c r="H72">
        <v>138.9</v>
      </c>
      <c r="I72">
        <v>140.69999999999999</v>
      </c>
      <c r="J72" t="s">
        <v>13</v>
      </c>
      <c r="L72" s="2">
        <f>G72*'Linking Factor'!$C$19</f>
        <v>74.256839999999997</v>
      </c>
      <c r="M72" s="2">
        <f>H72*'Linking Factor'!$D$19</f>
        <v>73.894800000000004</v>
      </c>
      <c r="N72" s="2">
        <f>I72*'Linking Factor'!$E$19</f>
        <v>74.106689999999986</v>
      </c>
    </row>
    <row r="73" spans="1:14" x14ac:dyDescent="0.25">
      <c r="A73">
        <v>2018</v>
      </c>
      <c r="B73" t="s">
        <v>23</v>
      </c>
      <c r="C73" t="s">
        <v>11</v>
      </c>
      <c r="F73" t="s">
        <v>12</v>
      </c>
      <c r="G73">
        <v>142.4</v>
      </c>
      <c r="H73">
        <v>139</v>
      </c>
      <c r="I73">
        <v>140.80000000000001</v>
      </c>
      <c r="J73" t="s">
        <v>13</v>
      </c>
      <c r="L73" s="2">
        <f>G73*'Linking Factor'!$C$19</f>
        <v>74.361280000000008</v>
      </c>
      <c r="M73" s="2">
        <f>H73*'Linking Factor'!$D$19</f>
        <v>73.948000000000008</v>
      </c>
      <c r="N73" s="2">
        <f>I73*'Linking Factor'!$E$19</f>
        <v>74.159359999999992</v>
      </c>
    </row>
    <row r="74" spans="1:14" x14ac:dyDescent="0.25">
      <c r="A74">
        <v>2018</v>
      </c>
      <c r="B74" t="s">
        <v>24</v>
      </c>
      <c r="C74" t="s">
        <v>11</v>
      </c>
      <c r="F74" t="s">
        <v>12</v>
      </c>
      <c r="G74">
        <v>141.9</v>
      </c>
      <c r="H74">
        <v>138</v>
      </c>
      <c r="I74">
        <v>140.1</v>
      </c>
      <c r="J74" t="s">
        <v>13</v>
      </c>
      <c r="L74" s="2">
        <f>G74*'Linking Factor'!$C$19</f>
        <v>74.100180000000009</v>
      </c>
      <c r="M74" s="2">
        <f>H74*'Linking Factor'!$D$19</f>
        <v>73.415999999999997</v>
      </c>
      <c r="N74" s="2">
        <f>I74*'Linking Factor'!$E$19</f>
        <v>73.790669999999992</v>
      </c>
    </row>
    <row r="75" spans="1:14" x14ac:dyDescent="0.25">
      <c r="A75">
        <v>2019</v>
      </c>
      <c r="B75" t="s">
        <v>10</v>
      </c>
      <c r="C75" t="s">
        <v>11</v>
      </c>
      <c r="F75" t="s">
        <v>12</v>
      </c>
      <c r="G75">
        <v>141</v>
      </c>
      <c r="H75">
        <v>138</v>
      </c>
      <c r="I75">
        <v>139.6</v>
      </c>
      <c r="J75" t="s">
        <v>13</v>
      </c>
      <c r="L75" s="2">
        <f>G75*'Linking Factor'!$C$19</f>
        <v>73.630200000000002</v>
      </c>
      <c r="M75" s="2">
        <f>H75*'Linking Factor'!$D$19</f>
        <v>73.415999999999997</v>
      </c>
      <c r="N75" s="2">
        <f>I75*'Linking Factor'!$E$19</f>
        <v>73.527319999999989</v>
      </c>
    </row>
    <row r="76" spans="1:14" x14ac:dyDescent="0.25">
      <c r="A76">
        <v>2019</v>
      </c>
      <c r="B76" t="s">
        <v>14</v>
      </c>
      <c r="C76" t="s">
        <v>11</v>
      </c>
      <c r="F76" t="s">
        <v>12</v>
      </c>
      <c r="G76">
        <v>141</v>
      </c>
      <c r="H76">
        <v>138.6</v>
      </c>
      <c r="I76">
        <v>139.9</v>
      </c>
      <c r="J76" t="s">
        <v>13</v>
      </c>
      <c r="L76" s="2">
        <f>G76*'Linking Factor'!$C$19</f>
        <v>73.630200000000002</v>
      </c>
      <c r="M76" s="2">
        <f>H76*'Linking Factor'!$D$19</f>
        <v>73.735200000000006</v>
      </c>
      <c r="N76" s="2">
        <f>I76*'Linking Factor'!$E$19</f>
        <v>73.685329999999993</v>
      </c>
    </row>
    <row r="77" spans="1:14" x14ac:dyDescent="0.25">
      <c r="A77">
        <v>2019</v>
      </c>
      <c r="B77" t="s">
        <v>15</v>
      </c>
      <c r="C77" t="s">
        <v>11</v>
      </c>
      <c r="F77" t="s">
        <v>12</v>
      </c>
      <c r="G77">
        <v>141.19999999999999</v>
      </c>
      <c r="H77">
        <v>139.5</v>
      </c>
      <c r="I77">
        <v>140.4</v>
      </c>
      <c r="J77" t="s">
        <v>13</v>
      </c>
      <c r="L77" s="2">
        <f>G77*'Linking Factor'!$C$19</f>
        <v>73.734639999999999</v>
      </c>
      <c r="M77" s="2">
        <f>H77*'Linking Factor'!$D$19</f>
        <v>74.213999999999999</v>
      </c>
      <c r="N77" s="2">
        <f>I77*'Linking Factor'!$E$19</f>
        <v>73.948679999999996</v>
      </c>
    </row>
    <row r="78" spans="1:14" x14ac:dyDescent="0.25">
      <c r="A78">
        <v>2019</v>
      </c>
      <c r="B78" t="s">
        <v>16</v>
      </c>
      <c r="C78" t="s">
        <v>11</v>
      </c>
      <c r="F78" t="s">
        <v>12</v>
      </c>
      <c r="G78">
        <v>141.69999999999999</v>
      </c>
      <c r="H78">
        <v>140.6</v>
      </c>
      <c r="I78">
        <v>141.19999999999999</v>
      </c>
      <c r="J78" t="s">
        <v>13</v>
      </c>
      <c r="L78" s="2">
        <f>G78*'Linking Factor'!$C$19</f>
        <v>73.995739999999998</v>
      </c>
      <c r="M78" s="2">
        <f>H78*'Linking Factor'!$D$19</f>
        <v>74.799199999999999</v>
      </c>
      <c r="N78" s="2">
        <f>I78*'Linking Factor'!$E$19</f>
        <v>74.370039999999989</v>
      </c>
    </row>
    <row r="79" spans="1:14" x14ac:dyDescent="0.25">
      <c r="A79">
        <v>2019</v>
      </c>
      <c r="B79" t="s">
        <v>17</v>
      </c>
      <c r="C79" t="s">
        <v>11</v>
      </c>
      <c r="F79" t="s">
        <v>12</v>
      </c>
      <c r="G79">
        <v>142.4</v>
      </c>
      <c r="H79">
        <v>141.5</v>
      </c>
      <c r="I79">
        <v>142</v>
      </c>
      <c r="J79" t="s">
        <v>13</v>
      </c>
      <c r="L79" s="2">
        <f>G79*'Linking Factor'!$C$19</f>
        <v>74.361280000000008</v>
      </c>
      <c r="M79" s="2">
        <f>H79*'Linking Factor'!$D$19</f>
        <v>75.278000000000006</v>
      </c>
      <c r="N79" s="2">
        <f>I79*'Linking Factor'!$E$19</f>
        <v>74.791399999999996</v>
      </c>
    </row>
    <row r="80" spans="1:14" x14ac:dyDescent="0.25">
      <c r="A80">
        <v>2019</v>
      </c>
      <c r="B80" t="s">
        <v>18</v>
      </c>
      <c r="C80" t="s">
        <v>11</v>
      </c>
      <c r="F80" t="s">
        <v>12</v>
      </c>
      <c r="G80">
        <v>143.6</v>
      </c>
      <c r="H80">
        <v>142.1</v>
      </c>
      <c r="I80">
        <v>142.9</v>
      </c>
      <c r="J80" t="s">
        <v>13</v>
      </c>
      <c r="L80" s="2">
        <f>G80*'Linking Factor'!$C$19</f>
        <v>74.987920000000003</v>
      </c>
      <c r="M80" s="2">
        <f>H80*'Linking Factor'!$D$19</f>
        <v>75.597200000000001</v>
      </c>
      <c r="N80" s="2">
        <f>I80*'Linking Factor'!$E$19</f>
        <v>75.265429999999995</v>
      </c>
    </row>
    <row r="81" spans="1:14" x14ac:dyDescent="0.25">
      <c r="A81">
        <v>2019</v>
      </c>
      <c r="B81" t="s">
        <v>19</v>
      </c>
      <c r="C81" t="s">
        <v>11</v>
      </c>
      <c r="F81" t="s">
        <v>12</v>
      </c>
      <c r="G81">
        <v>144.9</v>
      </c>
      <c r="H81">
        <v>143.30000000000001</v>
      </c>
      <c r="I81">
        <v>144.19999999999999</v>
      </c>
      <c r="J81" t="s">
        <v>13</v>
      </c>
      <c r="L81" s="2">
        <f>G81*'Linking Factor'!$C$19</f>
        <v>75.666780000000003</v>
      </c>
      <c r="M81" s="2">
        <f>H81*'Linking Factor'!$D$19</f>
        <v>76.235600000000005</v>
      </c>
      <c r="N81" s="2">
        <f>I81*'Linking Factor'!$E$19</f>
        <v>75.95013999999999</v>
      </c>
    </row>
    <row r="82" spans="1:14" x14ac:dyDescent="0.25">
      <c r="A82">
        <v>2019</v>
      </c>
      <c r="B82" t="s">
        <v>20</v>
      </c>
      <c r="C82" t="s">
        <v>11</v>
      </c>
      <c r="F82" t="s">
        <v>12</v>
      </c>
      <c r="G82">
        <v>145.69999999999999</v>
      </c>
      <c r="H82">
        <v>144.19999999999999</v>
      </c>
      <c r="I82">
        <v>145</v>
      </c>
      <c r="J82" t="s">
        <v>13</v>
      </c>
      <c r="L82" s="2">
        <f>G82*'Linking Factor'!$C$19</f>
        <v>76.08453999999999</v>
      </c>
      <c r="M82" s="2">
        <f>H82*'Linking Factor'!$D$19</f>
        <v>76.714399999999998</v>
      </c>
      <c r="N82" s="2">
        <f>I82*'Linking Factor'!$E$19</f>
        <v>76.371499999999997</v>
      </c>
    </row>
    <row r="83" spans="1:14" x14ac:dyDescent="0.25">
      <c r="A83">
        <v>2019</v>
      </c>
      <c r="B83" t="s">
        <v>21</v>
      </c>
      <c r="C83" t="s">
        <v>11</v>
      </c>
      <c r="F83" t="s">
        <v>12</v>
      </c>
      <c r="G83">
        <v>146.69999999999999</v>
      </c>
      <c r="H83">
        <v>144.69999999999999</v>
      </c>
      <c r="I83">
        <v>145.80000000000001</v>
      </c>
      <c r="J83" t="s">
        <v>13</v>
      </c>
      <c r="L83" s="2">
        <f>G83*'Linking Factor'!$C$19</f>
        <v>76.606739999999988</v>
      </c>
      <c r="M83" s="2">
        <f>H83*'Linking Factor'!$D$19</f>
        <v>76.980400000000003</v>
      </c>
      <c r="N83" s="2">
        <f>I83*'Linking Factor'!$E$19</f>
        <v>76.792860000000005</v>
      </c>
    </row>
    <row r="84" spans="1:14" x14ac:dyDescent="0.25">
      <c r="A84">
        <v>2019</v>
      </c>
      <c r="B84" t="s">
        <v>22</v>
      </c>
      <c r="C84" t="s">
        <v>11</v>
      </c>
      <c r="F84" t="s">
        <v>12</v>
      </c>
      <c r="G84">
        <v>148.30000000000001</v>
      </c>
      <c r="H84">
        <v>146</v>
      </c>
      <c r="I84">
        <v>147.19999999999999</v>
      </c>
      <c r="J84" t="s">
        <v>13</v>
      </c>
      <c r="L84" s="2">
        <f>G84*'Linking Factor'!$C$19</f>
        <v>77.442260000000005</v>
      </c>
      <c r="M84" s="2">
        <f>H84*'Linking Factor'!$D$19</f>
        <v>77.671999999999997</v>
      </c>
      <c r="N84" s="2">
        <f>I84*'Linking Factor'!$E$19</f>
        <v>77.530239999999992</v>
      </c>
    </row>
    <row r="85" spans="1:14" x14ac:dyDescent="0.25">
      <c r="A85">
        <v>2019</v>
      </c>
      <c r="B85" t="s">
        <v>23</v>
      </c>
      <c r="C85" t="s">
        <v>11</v>
      </c>
      <c r="F85" t="s">
        <v>12</v>
      </c>
      <c r="G85">
        <v>149.9</v>
      </c>
      <c r="H85">
        <v>147</v>
      </c>
      <c r="I85">
        <v>148.6</v>
      </c>
      <c r="J85" t="s">
        <v>13</v>
      </c>
      <c r="L85" s="2">
        <f>G85*'Linking Factor'!$C$19</f>
        <v>78.277780000000007</v>
      </c>
      <c r="M85" s="2">
        <f>H85*'Linking Factor'!$D$19</f>
        <v>78.204000000000008</v>
      </c>
      <c r="N85" s="2">
        <f>I85*'Linking Factor'!$E$19</f>
        <v>78.267619999999994</v>
      </c>
    </row>
    <row r="86" spans="1:14" x14ac:dyDescent="0.25">
      <c r="A86">
        <v>2019</v>
      </c>
      <c r="B86" t="s">
        <v>24</v>
      </c>
      <c r="C86" t="s">
        <v>11</v>
      </c>
      <c r="F86" t="s">
        <v>12</v>
      </c>
      <c r="G86">
        <v>152.30000000000001</v>
      </c>
      <c r="H86">
        <v>148.30000000000001</v>
      </c>
      <c r="I86">
        <v>150.4</v>
      </c>
      <c r="J86" t="s">
        <v>13</v>
      </c>
      <c r="L86" s="2">
        <f>G86*'Linking Factor'!$C$19</f>
        <v>79.531060000000011</v>
      </c>
      <c r="M86" s="2">
        <f>H86*'Linking Factor'!$D$19</f>
        <v>78.895600000000016</v>
      </c>
      <c r="N86" s="2">
        <f>I86*'Linking Factor'!$E$19</f>
        <v>79.215679999999992</v>
      </c>
    </row>
    <row r="87" spans="1:14" x14ac:dyDescent="0.25">
      <c r="A87">
        <v>2020</v>
      </c>
      <c r="B87" t="s">
        <v>10</v>
      </c>
      <c r="C87" t="s">
        <v>11</v>
      </c>
      <c r="F87" t="s">
        <v>12</v>
      </c>
      <c r="G87">
        <v>151.9</v>
      </c>
      <c r="H87">
        <v>148.19999999999999</v>
      </c>
      <c r="I87">
        <v>150.19999999999999</v>
      </c>
      <c r="J87" t="s">
        <v>13</v>
      </c>
      <c r="L87" s="2">
        <f>G87*'Linking Factor'!$C$19</f>
        <v>79.322180000000003</v>
      </c>
      <c r="M87" s="2">
        <f>H87*'Linking Factor'!$D$19</f>
        <v>78.842399999999998</v>
      </c>
      <c r="N87" s="2">
        <f>I87*'Linking Factor'!$E$19</f>
        <v>79.110339999999979</v>
      </c>
    </row>
    <row r="88" spans="1:14" x14ac:dyDescent="0.25">
      <c r="A88">
        <v>2020</v>
      </c>
      <c r="B88" t="s">
        <v>14</v>
      </c>
      <c r="C88" t="s">
        <v>11</v>
      </c>
      <c r="F88" t="s">
        <v>12</v>
      </c>
      <c r="G88">
        <v>150.4</v>
      </c>
      <c r="H88">
        <v>147.69999999999999</v>
      </c>
      <c r="I88">
        <v>149.1</v>
      </c>
      <c r="J88" t="s">
        <v>13</v>
      </c>
      <c r="L88" s="2">
        <f>G88*'Linking Factor'!$C$19</f>
        <v>78.538880000000006</v>
      </c>
      <c r="M88" s="2">
        <f>H88*'Linking Factor'!$D$19</f>
        <v>78.576399999999992</v>
      </c>
      <c r="N88" s="2">
        <f>I88*'Linking Factor'!$E$19</f>
        <v>78.530969999999982</v>
      </c>
    </row>
    <row r="89" spans="1:14" x14ac:dyDescent="0.25">
      <c r="A89">
        <v>2020</v>
      </c>
      <c r="B89" t="s">
        <v>15</v>
      </c>
      <c r="C89" t="s">
        <v>11</v>
      </c>
      <c r="F89" t="s">
        <v>12</v>
      </c>
      <c r="G89">
        <v>149.80000000000001</v>
      </c>
      <c r="H89">
        <v>147.30000000000001</v>
      </c>
      <c r="I89">
        <v>148.6</v>
      </c>
      <c r="J89" t="s">
        <v>13</v>
      </c>
      <c r="L89" s="2">
        <f>G89*'Linking Factor'!$C$19</f>
        <v>78.225560000000002</v>
      </c>
      <c r="M89" s="2">
        <f>H89*'Linking Factor'!$D$19</f>
        <v>78.363600000000005</v>
      </c>
      <c r="N89" s="2">
        <f>I89*'Linking Factor'!$E$19</f>
        <v>78.267619999999994</v>
      </c>
    </row>
    <row r="90" spans="1:14" x14ac:dyDescent="0.25">
      <c r="A90">
        <v>2020</v>
      </c>
      <c r="B90" t="s">
        <v>16</v>
      </c>
      <c r="C90" t="s">
        <v>11</v>
      </c>
      <c r="F90" t="s">
        <v>12</v>
      </c>
      <c r="G90">
        <v>151.9</v>
      </c>
      <c r="H90">
        <v>150.9</v>
      </c>
      <c r="I90">
        <v>151.4</v>
      </c>
      <c r="J90" t="s">
        <v>25</v>
      </c>
      <c r="L90" s="2">
        <f>G90*'Linking Factor'!$C$19</f>
        <v>79.322180000000003</v>
      </c>
      <c r="M90" s="2">
        <f>H90*'Linking Factor'!$D$19</f>
        <v>80.278800000000004</v>
      </c>
      <c r="N90" s="2">
        <f>I90*'Linking Factor'!$E$19</f>
        <v>79.742379999999997</v>
      </c>
    </row>
    <row r="91" spans="1:14" x14ac:dyDescent="0.25">
      <c r="A91">
        <v>2020</v>
      </c>
      <c r="B91" t="s">
        <v>17</v>
      </c>
      <c r="C91" t="s">
        <v>11</v>
      </c>
      <c r="F91" t="s">
        <v>12</v>
      </c>
      <c r="G91">
        <v>151.19999999999999</v>
      </c>
      <c r="H91">
        <v>150.6</v>
      </c>
      <c r="I91">
        <v>150.9</v>
      </c>
      <c r="J91" t="s">
        <v>25</v>
      </c>
      <c r="L91" s="2">
        <f>G91*'Linking Factor'!$C$19</f>
        <v>78.956639999999993</v>
      </c>
      <c r="M91" s="2">
        <f>H91*'Linking Factor'!$D$19</f>
        <v>80.119200000000006</v>
      </c>
      <c r="N91" s="2">
        <f>I91*'Linking Factor'!$E$19</f>
        <v>79.479029999999995</v>
      </c>
    </row>
    <row r="92" spans="1:14" x14ac:dyDescent="0.25">
      <c r="A92">
        <v>2020</v>
      </c>
      <c r="B92" t="s">
        <v>18</v>
      </c>
      <c r="C92" t="s">
        <v>11</v>
      </c>
      <c r="F92" t="s">
        <v>12</v>
      </c>
      <c r="G92">
        <v>152.69999999999999</v>
      </c>
      <c r="H92">
        <v>150.80000000000001</v>
      </c>
      <c r="I92">
        <v>151.80000000000001</v>
      </c>
      <c r="J92" t="s">
        <v>13</v>
      </c>
      <c r="L92" s="2">
        <f>G92*'Linking Factor'!$C$19</f>
        <v>79.73993999999999</v>
      </c>
      <c r="M92" s="2">
        <f>H92*'Linking Factor'!$D$19</f>
        <v>80.225600000000014</v>
      </c>
      <c r="N92" s="2">
        <f>I92*'Linking Factor'!$E$19</f>
        <v>79.953059999999994</v>
      </c>
    </row>
    <row r="93" spans="1:14" x14ac:dyDescent="0.25">
      <c r="A93">
        <v>2020</v>
      </c>
      <c r="B93" t="s">
        <v>19</v>
      </c>
      <c r="C93" t="s">
        <v>11</v>
      </c>
      <c r="F93" t="s">
        <v>12</v>
      </c>
      <c r="G93">
        <v>154.69999999999999</v>
      </c>
      <c r="H93">
        <v>152.9</v>
      </c>
      <c r="I93">
        <v>153.9</v>
      </c>
      <c r="J93" t="s">
        <v>13</v>
      </c>
      <c r="L93" s="2">
        <f>G93*'Linking Factor'!$C$19</f>
        <v>80.78434</v>
      </c>
      <c r="M93" s="2">
        <f>H93*'Linking Factor'!$D$19</f>
        <v>81.342800000000011</v>
      </c>
      <c r="N93" s="2">
        <f>I93*'Linking Factor'!$E$19</f>
        <v>81.059129999999996</v>
      </c>
    </row>
    <row r="94" spans="1:14" x14ac:dyDescent="0.25">
      <c r="A94">
        <v>2020</v>
      </c>
      <c r="B94" t="s">
        <v>20</v>
      </c>
      <c r="C94" t="s">
        <v>11</v>
      </c>
      <c r="F94" t="s">
        <v>12</v>
      </c>
      <c r="G94">
        <v>155.4</v>
      </c>
      <c r="H94">
        <v>154</v>
      </c>
      <c r="I94">
        <v>154.69999999999999</v>
      </c>
      <c r="J94" t="s">
        <v>13</v>
      </c>
      <c r="L94" s="2">
        <f>G94*'Linking Factor'!$C$19</f>
        <v>81.149879999999996</v>
      </c>
      <c r="M94" s="2">
        <f>H94*'Linking Factor'!$D$19</f>
        <v>81.927999999999997</v>
      </c>
      <c r="N94" s="2">
        <f>I94*'Linking Factor'!$E$19</f>
        <v>81.480489999999989</v>
      </c>
    </row>
    <row r="95" spans="1:14" x14ac:dyDescent="0.25">
      <c r="A95">
        <v>2020</v>
      </c>
      <c r="B95" t="s">
        <v>21</v>
      </c>
      <c r="C95" t="s">
        <v>11</v>
      </c>
      <c r="F95" t="s">
        <v>12</v>
      </c>
      <c r="G95">
        <v>157.5</v>
      </c>
      <c r="H95">
        <v>155.19999999999999</v>
      </c>
      <c r="I95">
        <v>156.4</v>
      </c>
      <c r="J95" t="s">
        <v>13</v>
      </c>
      <c r="L95" s="2">
        <f>G95*'Linking Factor'!$C$19</f>
        <v>82.246499999999997</v>
      </c>
      <c r="M95" s="2">
        <f>H95*'Linking Factor'!$D$19</f>
        <v>82.566400000000002</v>
      </c>
      <c r="N95" s="2">
        <f>I95*'Linking Factor'!$E$19</f>
        <v>82.375879999999995</v>
      </c>
    </row>
    <row r="96" spans="1:14" x14ac:dyDescent="0.25">
      <c r="A96">
        <v>2020</v>
      </c>
      <c r="B96" t="s">
        <v>22</v>
      </c>
      <c r="C96" t="s">
        <v>11</v>
      </c>
      <c r="F96" t="s">
        <v>12</v>
      </c>
      <c r="G96">
        <v>159.80000000000001</v>
      </c>
      <c r="H96">
        <v>156.69999999999999</v>
      </c>
      <c r="I96">
        <v>158.4</v>
      </c>
      <c r="J96" t="s">
        <v>13</v>
      </c>
      <c r="L96" s="2">
        <f>G96*'Linking Factor'!$C$19</f>
        <v>83.44756000000001</v>
      </c>
      <c r="M96" s="2">
        <f>H96*'Linking Factor'!$D$19</f>
        <v>83.364400000000003</v>
      </c>
      <c r="N96" s="2">
        <f>I96*'Linking Factor'!$E$19</f>
        <v>83.429279999999991</v>
      </c>
    </row>
    <row r="97" spans="1:14" x14ac:dyDescent="0.25">
      <c r="A97">
        <v>2020</v>
      </c>
      <c r="B97" t="s">
        <v>23</v>
      </c>
      <c r="C97" t="s">
        <v>11</v>
      </c>
      <c r="F97" t="s">
        <v>12</v>
      </c>
      <c r="G97">
        <v>160.69999999999999</v>
      </c>
      <c r="H97">
        <v>156.9</v>
      </c>
      <c r="I97">
        <v>158.9</v>
      </c>
      <c r="J97" t="s">
        <v>13</v>
      </c>
      <c r="L97" s="2">
        <f>G97*'Linking Factor'!$C$19</f>
        <v>83.917539999999988</v>
      </c>
      <c r="M97" s="2">
        <f>H97*'Linking Factor'!$D$19</f>
        <v>83.470800000000011</v>
      </c>
      <c r="N97" s="2">
        <f>I97*'Linking Factor'!$E$19</f>
        <v>83.692629999999994</v>
      </c>
    </row>
    <row r="98" spans="1:14" x14ac:dyDescent="0.25">
      <c r="A98">
        <v>2020</v>
      </c>
      <c r="B98" t="s">
        <v>24</v>
      </c>
      <c r="C98" t="s">
        <v>11</v>
      </c>
      <c r="F98" t="s">
        <v>12</v>
      </c>
      <c r="G98">
        <v>158.5</v>
      </c>
      <c r="H98">
        <v>156</v>
      </c>
      <c r="I98">
        <v>157.30000000000001</v>
      </c>
      <c r="J98" t="s">
        <v>13</v>
      </c>
      <c r="L98" s="2">
        <f>G98*'Linking Factor'!$C$19</f>
        <v>82.768699999999995</v>
      </c>
      <c r="M98" s="2">
        <f>H98*'Linking Factor'!$D$19</f>
        <v>82.992000000000004</v>
      </c>
      <c r="N98" s="2">
        <f>I98*'Linking Factor'!$E$19</f>
        <v>82.849909999999994</v>
      </c>
    </row>
    <row r="99" spans="1:14" x14ac:dyDescent="0.25">
      <c r="A99">
        <v>2021</v>
      </c>
      <c r="B99" t="s">
        <v>10</v>
      </c>
      <c r="C99" t="s">
        <v>11</v>
      </c>
      <c r="F99" t="s">
        <v>12</v>
      </c>
      <c r="G99">
        <v>156.80000000000001</v>
      </c>
      <c r="H99">
        <v>155.80000000000001</v>
      </c>
      <c r="I99">
        <v>156.30000000000001</v>
      </c>
      <c r="J99" t="s">
        <v>13</v>
      </c>
      <c r="L99" s="2">
        <f>G99*'Linking Factor'!$C$19</f>
        <v>81.880960000000002</v>
      </c>
      <c r="M99" s="2">
        <f>H99*'Linking Factor'!$D$19</f>
        <v>82.885600000000011</v>
      </c>
      <c r="N99" s="2">
        <f>I99*'Linking Factor'!$E$19</f>
        <v>82.323210000000003</v>
      </c>
    </row>
    <row r="100" spans="1:14" x14ac:dyDescent="0.25">
      <c r="A100">
        <v>2021</v>
      </c>
      <c r="B100" t="s">
        <v>14</v>
      </c>
      <c r="C100" t="s">
        <v>11</v>
      </c>
      <c r="F100" t="s">
        <v>12</v>
      </c>
      <c r="G100">
        <v>156.69999999999999</v>
      </c>
      <c r="H100">
        <v>156.5</v>
      </c>
      <c r="I100">
        <v>156.6</v>
      </c>
      <c r="J100" t="s">
        <v>13</v>
      </c>
      <c r="L100" s="2">
        <f>G100*'Linking Factor'!$C$19</f>
        <v>81.828739999999996</v>
      </c>
      <c r="M100" s="2">
        <f>H100*'Linking Factor'!$D$19</f>
        <v>83.25800000000001</v>
      </c>
      <c r="N100" s="2">
        <f>I100*'Linking Factor'!$E$19</f>
        <v>82.481219999999993</v>
      </c>
    </row>
    <row r="101" spans="1:14" x14ac:dyDescent="0.25">
      <c r="A101">
        <v>2021</v>
      </c>
      <c r="B101" t="s">
        <v>15</v>
      </c>
      <c r="C101" t="s">
        <v>11</v>
      </c>
      <c r="F101" t="s">
        <v>12</v>
      </c>
      <c r="G101">
        <v>156.69999999999999</v>
      </c>
      <c r="H101">
        <v>156.9</v>
      </c>
      <c r="I101">
        <v>156.80000000000001</v>
      </c>
      <c r="J101" t="s">
        <v>13</v>
      </c>
      <c r="L101" s="2">
        <f>G101*'Linking Factor'!$C$19</f>
        <v>81.828739999999996</v>
      </c>
      <c r="M101" s="2">
        <f>H101*'Linking Factor'!$D$19</f>
        <v>83.470800000000011</v>
      </c>
      <c r="N101" s="2">
        <f>I101*'Linking Factor'!$E$19</f>
        <v>82.586559999999992</v>
      </c>
    </row>
    <row r="102" spans="1:14" x14ac:dyDescent="0.25">
      <c r="A102">
        <v>2021</v>
      </c>
      <c r="B102" t="s">
        <v>16</v>
      </c>
      <c r="C102" t="s">
        <v>11</v>
      </c>
      <c r="F102" t="s">
        <v>12</v>
      </c>
      <c r="G102">
        <v>157.6</v>
      </c>
      <c r="H102">
        <v>158</v>
      </c>
      <c r="I102">
        <v>157.80000000000001</v>
      </c>
      <c r="J102" t="s">
        <v>13</v>
      </c>
      <c r="L102" s="2">
        <f>G102*'Linking Factor'!$C$19</f>
        <v>82.298720000000003</v>
      </c>
      <c r="M102" s="2">
        <f>H102*'Linking Factor'!$D$19</f>
        <v>84.056000000000012</v>
      </c>
      <c r="N102" s="2">
        <f>I102*'Linking Factor'!$E$19</f>
        <v>83.113259999999997</v>
      </c>
    </row>
    <row r="103" spans="1:14" x14ac:dyDescent="0.25">
      <c r="A103">
        <v>2021</v>
      </c>
      <c r="B103" t="s">
        <v>17</v>
      </c>
      <c r="C103" t="s">
        <v>11</v>
      </c>
      <c r="F103" t="s">
        <v>12</v>
      </c>
      <c r="G103">
        <v>161.1</v>
      </c>
      <c r="H103">
        <v>159.5</v>
      </c>
      <c r="I103">
        <v>160.4</v>
      </c>
      <c r="J103" t="s">
        <v>13</v>
      </c>
      <c r="L103" s="2">
        <f>G103*'Linking Factor'!$C$19</f>
        <v>84.126419999999996</v>
      </c>
      <c r="M103" s="2">
        <f>H103*'Linking Factor'!$D$19</f>
        <v>84.853999999999999</v>
      </c>
      <c r="N103" s="2">
        <f>I103*'Linking Factor'!$E$19</f>
        <v>84.482679999999988</v>
      </c>
    </row>
    <row r="104" spans="1:14" x14ac:dyDescent="0.25">
      <c r="A104">
        <v>2021</v>
      </c>
      <c r="B104" t="s">
        <v>18</v>
      </c>
      <c r="C104" t="s">
        <v>11</v>
      </c>
      <c r="F104" t="s">
        <v>12</v>
      </c>
      <c r="G104">
        <v>162.1</v>
      </c>
      <c r="H104">
        <v>160.4</v>
      </c>
      <c r="I104">
        <v>161.30000000000001</v>
      </c>
      <c r="J104" t="s">
        <v>13</v>
      </c>
      <c r="L104" s="2">
        <f>G104*'Linking Factor'!$C$19</f>
        <v>84.648619999999994</v>
      </c>
      <c r="M104" s="2">
        <f>H104*'Linking Factor'!$D$19</f>
        <v>85.332800000000006</v>
      </c>
      <c r="N104" s="2">
        <f>I104*'Linking Factor'!$E$19</f>
        <v>84.956710000000001</v>
      </c>
    </row>
    <row r="105" spans="1:14" x14ac:dyDescent="0.25">
      <c r="A105">
        <v>2021</v>
      </c>
      <c r="B105" t="s">
        <v>19</v>
      </c>
      <c r="C105" t="s">
        <v>11</v>
      </c>
      <c r="F105" t="s">
        <v>12</v>
      </c>
      <c r="G105">
        <v>163.19999999999999</v>
      </c>
      <c r="H105">
        <v>161.80000000000001</v>
      </c>
      <c r="I105">
        <v>162.5</v>
      </c>
      <c r="J105" t="s">
        <v>13</v>
      </c>
      <c r="L105" s="2">
        <f>G105*'Linking Factor'!$C$19</f>
        <v>85.223039999999997</v>
      </c>
      <c r="M105" s="2">
        <f>H105*'Linking Factor'!$D$19</f>
        <v>86.077600000000004</v>
      </c>
      <c r="N105" s="2">
        <f>I105*'Linking Factor'!$E$19</f>
        <v>85.58874999999999</v>
      </c>
    </row>
    <row r="106" spans="1:14" x14ac:dyDescent="0.25">
      <c r="A106">
        <v>2021</v>
      </c>
      <c r="B106" t="s">
        <v>20</v>
      </c>
      <c r="C106" t="s">
        <v>11</v>
      </c>
      <c r="F106" t="s">
        <v>12</v>
      </c>
      <c r="G106">
        <v>163.6</v>
      </c>
      <c r="H106">
        <v>162.19999999999999</v>
      </c>
      <c r="I106">
        <v>162.9</v>
      </c>
      <c r="J106" t="s">
        <v>13</v>
      </c>
      <c r="L106" s="2">
        <f>G106*'Linking Factor'!$C$19</f>
        <v>85.431919999999991</v>
      </c>
      <c r="M106" s="2">
        <f>H106*'Linking Factor'!$D$19</f>
        <v>86.290400000000005</v>
      </c>
      <c r="N106" s="2">
        <f>I106*'Linking Factor'!$E$19</f>
        <v>85.799430000000001</v>
      </c>
    </row>
    <row r="107" spans="1:14" x14ac:dyDescent="0.25">
      <c r="A107">
        <v>2021</v>
      </c>
      <c r="B107" t="s">
        <v>21</v>
      </c>
      <c r="C107" t="s">
        <v>11</v>
      </c>
      <c r="F107" t="s">
        <v>12</v>
      </c>
      <c r="G107">
        <v>164</v>
      </c>
      <c r="H107">
        <v>162.30000000000001</v>
      </c>
      <c r="I107">
        <v>163.19999999999999</v>
      </c>
      <c r="J107" t="s">
        <v>13</v>
      </c>
      <c r="L107" s="2">
        <f>G107*'Linking Factor'!$C$19</f>
        <v>85.640799999999999</v>
      </c>
      <c r="M107" s="2">
        <f>H107*'Linking Factor'!$D$19</f>
        <v>86.343600000000009</v>
      </c>
      <c r="N107" s="2">
        <f>I107*'Linking Factor'!$E$19</f>
        <v>85.957439999999991</v>
      </c>
    </row>
    <row r="108" spans="1:14" x14ac:dyDescent="0.25">
      <c r="A108">
        <v>2021</v>
      </c>
      <c r="B108" t="s">
        <v>22</v>
      </c>
      <c r="C108" t="s">
        <v>11</v>
      </c>
      <c r="F108" t="s">
        <v>12</v>
      </c>
      <c r="G108">
        <v>166.3</v>
      </c>
      <c r="H108">
        <v>164.6</v>
      </c>
      <c r="I108">
        <v>165.5</v>
      </c>
      <c r="J108" t="s">
        <v>13</v>
      </c>
      <c r="L108" s="2">
        <f>G108*'Linking Factor'!$C$19</f>
        <v>86.841860000000011</v>
      </c>
      <c r="M108" s="2">
        <f>H108*'Linking Factor'!$D$19</f>
        <v>87.5672</v>
      </c>
      <c r="N108" s="2">
        <f>I108*'Linking Factor'!$E$19</f>
        <v>87.168849999999992</v>
      </c>
    </row>
    <row r="109" spans="1:14" x14ac:dyDescent="0.25">
      <c r="A109">
        <v>2021</v>
      </c>
      <c r="B109" t="s">
        <v>23</v>
      </c>
      <c r="C109" t="s">
        <v>11</v>
      </c>
      <c r="F109" t="s">
        <v>12</v>
      </c>
      <c r="G109">
        <v>167.6</v>
      </c>
      <c r="H109">
        <v>165.6</v>
      </c>
      <c r="I109">
        <v>166.7</v>
      </c>
      <c r="J109" t="s">
        <v>13</v>
      </c>
      <c r="L109" s="2">
        <f>G109*'Linking Factor'!$C$19</f>
        <v>87.520719999999997</v>
      </c>
      <c r="M109" s="2">
        <f>H109*'Linking Factor'!$D$19</f>
        <v>88.099199999999996</v>
      </c>
      <c r="N109" s="2">
        <f>I109*'Linking Factor'!$E$19</f>
        <v>87.800889999999981</v>
      </c>
    </row>
    <row r="110" spans="1:14" x14ac:dyDescent="0.25">
      <c r="A110">
        <v>2021</v>
      </c>
      <c r="B110" t="s">
        <v>24</v>
      </c>
      <c r="C110" t="s">
        <v>11</v>
      </c>
      <c r="F110" t="s">
        <v>12</v>
      </c>
      <c r="G110">
        <v>167</v>
      </c>
      <c r="H110">
        <v>165.2</v>
      </c>
      <c r="I110">
        <v>166.2</v>
      </c>
      <c r="J110" t="s">
        <v>13</v>
      </c>
      <c r="L110" s="2">
        <f>G110*'Linking Factor'!$C$19</f>
        <v>87.207399999999993</v>
      </c>
      <c r="M110" s="2">
        <f>H110*'Linking Factor'!$D$19</f>
        <v>87.886399999999995</v>
      </c>
      <c r="N110" s="2">
        <f>I110*'Linking Factor'!$E$19</f>
        <v>87.537539999999979</v>
      </c>
    </row>
    <row r="111" spans="1:14" x14ac:dyDescent="0.25">
      <c r="A111">
        <v>2022</v>
      </c>
      <c r="B111" t="s">
        <v>10</v>
      </c>
      <c r="C111" t="s">
        <v>11</v>
      </c>
      <c r="F111" t="s">
        <v>12</v>
      </c>
      <c r="G111">
        <v>166.4</v>
      </c>
      <c r="H111">
        <v>165</v>
      </c>
      <c r="I111">
        <v>165.7</v>
      </c>
      <c r="J111" t="s">
        <v>13</v>
      </c>
      <c r="L111" s="2">
        <f>G111*'Linking Factor'!$C$19</f>
        <v>86.894080000000002</v>
      </c>
      <c r="M111" s="2">
        <f>H111*'Linking Factor'!$D$19</f>
        <v>87.78</v>
      </c>
      <c r="N111" s="2">
        <f>I111*'Linking Factor'!$E$19</f>
        <v>87.27418999999999</v>
      </c>
    </row>
    <row r="112" spans="1:14" x14ac:dyDescent="0.25">
      <c r="A112">
        <v>2022</v>
      </c>
      <c r="B112" t="s">
        <v>14</v>
      </c>
      <c r="C112" t="s">
        <v>11</v>
      </c>
      <c r="F112" t="s">
        <v>12</v>
      </c>
      <c r="G112">
        <v>166.7</v>
      </c>
      <c r="H112">
        <v>165.5</v>
      </c>
      <c r="I112">
        <v>166.1</v>
      </c>
      <c r="J112" t="s">
        <v>13</v>
      </c>
      <c r="L112" s="2">
        <f>G112*'Linking Factor'!$C$19</f>
        <v>87.05073999999999</v>
      </c>
      <c r="M112" s="2">
        <f>H112*'Linking Factor'!$D$19</f>
        <v>88.046000000000006</v>
      </c>
      <c r="N112" s="2">
        <f>I112*'Linking Factor'!$E$19</f>
        <v>87.484869999999987</v>
      </c>
    </row>
    <row r="113" spans="1:14" x14ac:dyDescent="0.25">
      <c r="A113">
        <v>2022</v>
      </c>
      <c r="B113" t="s">
        <v>15</v>
      </c>
      <c r="C113" t="s">
        <v>11</v>
      </c>
      <c r="F113" t="s">
        <v>12</v>
      </c>
      <c r="G113">
        <v>168.7</v>
      </c>
      <c r="H113">
        <v>166.5</v>
      </c>
      <c r="I113">
        <v>167.7</v>
      </c>
      <c r="J113" t="s">
        <v>13</v>
      </c>
      <c r="L113" s="2">
        <f>G113*'Linking Factor'!$C$19</f>
        <v>88.095140000000001</v>
      </c>
      <c r="M113" s="2">
        <f>H113*'Linking Factor'!$D$19</f>
        <v>88.578000000000003</v>
      </c>
      <c r="N113" s="2">
        <f>I113*'Linking Factor'!$E$19</f>
        <v>88.327589999999987</v>
      </c>
    </row>
    <row r="114" spans="1:14" x14ac:dyDescent="0.25">
      <c r="A114">
        <v>2022</v>
      </c>
      <c r="B114" t="s">
        <v>16</v>
      </c>
      <c r="C114" t="s">
        <v>11</v>
      </c>
      <c r="F114" t="s">
        <v>12</v>
      </c>
      <c r="G114">
        <v>170.8</v>
      </c>
      <c r="H114">
        <v>169.2</v>
      </c>
      <c r="I114">
        <v>170.1</v>
      </c>
      <c r="J114" t="s">
        <v>13</v>
      </c>
      <c r="L114" s="2">
        <f>G114*'Linking Factor'!$C$19</f>
        <v>89.191760000000002</v>
      </c>
      <c r="M114" s="2">
        <f>H114*'Linking Factor'!$D$19</f>
        <v>90.014399999999995</v>
      </c>
      <c r="N114" s="2">
        <f>I114*'Linking Factor'!$E$19</f>
        <v>89.591669999999993</v>
      </c>
    </row>
    <row r="115" spans="1:14" x14ac:dyDescent="0.25">
      <c r="A115">
        <v>2022</v>
      </c>
      <c r="B115" t="s">
        <v>17</v>
      </c>
      <c r="C115" t="s">
        <v>11</v>
      </c>
      <c r="F115" t="s">
        <v>12</v>
      </c>
      <c r="G115">
        <v>172.5</v>
      </c>
      <c r="H115">
        <v>170.8</v>
      </c>
      <c r="I115">
        <v>171.7</v>
      </c>
      <c r="J115" t="s">
        <v>13</v>
      </c>
      <c r="L115" s="2">
        <f>G115*'Linking Factor'!$C$19</f>
        <v>90.079499999999996</v>
      </c>
      <c r="M115" s="2">
        <f>H115*'Linking Factor'!$D$19</f>
        <v>90.865600000000015</v>
      </c>
      <c r="N115" s="2">
        <f>I115*'Linking Factor'!$E$19</f>
        <v>90.434389999999979</v>
      </c>
    </row>
    <row r="116" spans="1:14" x14ac:dyDescent="0.25">
      <c r="A116">
        <v>2022</v>
      </c>
      <c r="B116" t="s">
        <v>18</v>
      </c>
      <c r="C116" t="s">
        <v>11</v>
      </c>
      <c r="F116" t="s">
        <v>12</v>
      </c>
      <c r="G116">
        <v>173.6</v>
      </c>
      <c r="H116">
        <v>171.4</v>
      </c>
      <c r="I116">
        <v>172.6</v>
      </c>
      <c r="J116" t="s">
        <v>13</v>
      </c>
      <c r="L116" s="2">
        <f>G116*'Linking Factor'!$C$19</f>
        <v>90.653919999999999</v>
      </c>
      <c r="M116" s="2">
        <f>H116*'Linking Factor'!$D$19</f>
        <v>91.18480000000001</v>
      </c>
      <c r="N116" s="2">
        <f>I116*'Linking Factor'!$E$19</f>
        <v>90.908419999999992</v>
      </c>
    </row>
    <row r="117" spans="1:14" x14ac:dyDescent="0.25">
      <c r="A117">
        <v>2022</v>
      </c>
      <c r="B117" t="s">
        <v>19</v>
      </c>
      <c r="C117" t="s">
        <v>11</v>
      </c>
      <c r="F117" t="s">
        <v>12</v>
      </c>
      <c r="G117">
        <v>174.3</v>
      </c>
      <c r="H117">
        <v>172.3</v>
      </c>
      <c r="I117">
        <v>173.4</v>
      </c>
      <c r="J117" t="s">
        <v>13</v>
      </c>
      <c r="L117" s="2">
        <f>G117*'Linking Factor'!$C$19</f>
        <v>91.019460000000009</v>
      </c>
      <c r="M117" s="2">
        <f>H117*'Linking Factor'!$D$19</f>
        <v>91.663600000000017</v>
      </c>
      <c r="N117" s="2">
        <f>I117*'Linking Factor'!$E$19</f>
        <v>91.32978</v>
      </c>
    </row>
    <row r="118" spans="1:14" x14ac:dyDescent="0.25">
      <c r="A118">
        <v>2022</v>
      </c>
      <c r="B118" t="s">
        <v>20</v>
      </c>
      <c r="C118" t="s">
        <v>11</v>
      </c>
      <c r="F118" t="s">
        <v>12</v>
      </c>
      <c r="G118">
        <v>175.3</v>
      </c>
      <c r="H118">
        <v>173.1</v>
      </c>
      <c r="I118">
        <v>174.3</v>
      </c>
      <c r="J118" t="s">
        <v>13</v>
      </c>
      <c r="L118" s="2">
        <f>G118*'Linking Factor'!$C$19</f>
        <v>91.541660000000007</v>
      </c>
      <c r="M118" s="2">
        <f>H118*'Linking Factor'!$D$19</f>
        <v>92.089200000000005</v>
      </c>
      <c r="N118" s="2">
        <f>I118*'Linking Factor'!$E$19</f>
        <v>91.803809999999999</v>
      </c>
    </row>
    <row r="119" spans="1:14" x14ac:dyDescent="0.25">
      <c r="A119">
        <v>2022</v>
      </c>
      <c r="B119" t="s">
        <v>21</v>
      </c>
      <c r="C119" t="s">
        <v>11</v>
      </c>
      <c r="F119" t="s">
        <v>12</v>
      </c>
      <c r="G119">
        <v>176.4</v>
      </c>
      <c r="H119">
        <v>174.1</v>
      </c>
      <c r="I119">
        <v>175.3</v>
      </c>
      <c r="J119" t="s">
        <v>13</v>
      </c>
      <c r="L119" s="2">
        <f>G119*'Linking Factor'!$C$19</f>
        <v>92.116079999999997</v>
      </c>
      <c r="M119" s="2">
        <f>H119*'Linking Factor'!$D$19</f>
        <v>92.621200000000002</v>
      </c>
      <c r="N119" s="2">
        <f>I119*'Linking Factor'!$E$19</f>
        <v>92.33050999999999</v>
      </c>
    </row>
    <row r="120" spans="1:14" x14ac:dyDescent="0.25">
      <c r="A120">
        <v>2022</v>
      </c>
      <c r="B120" t="s">
        <v>22</v>
      </c>
      <c r="C120" t="s">
        <v>11</v>
      </c>
      <c r="F120" t="s">
        <v>12</v>
      </c>
      <c r="G120">
        <v>177.9</v>
      </c>
      <c r="H120">
        <v>175.3</v>
      </c>
      <c r="I120">
        <v>176.7</v>
      </c>
      <c r="J120" t="s">
        <v>13</v>
      </c>
      <c r="L120" s="2">
        <f>G120*'Linking Factor'!$C$19</f>
        <v>92.899380000000008</v>
      </c>
      <c r="M120" s="2">
        <f>H120*'Linking Factor'!$D$19</f>
        <v>93.259600000000006</v>
      </c>
      <c r="N120" s="2">
        <f>I120*'Linking Factor'!$E$19</f>
        <v>93.067889999999991</v>
      </c>
    </row>
    <row r="121" spans="1:14" x14ac:dyDescent="0.25">
      <c r="A121">
        <v>2022</v>
      </c>
      <c r="B121" t="s">
        <v>23</v>
      </c>
      <c r="C121" t="s">
        <v>11</v>
      </c>
      <c r="F121" t="s">
        <v>12</v>
      </c>
      <c r="G121">
        <v>177.8</v>
      </c>
      <c r="H121">
        <v>175</v>
      </c>
      <c r="I121">
        <v>176.5</v>
      </c>
      <c r="J121" t="s">
        <v>13</v>
      </c>
      <c r="L121" s="2">
        <f>G121*'Linking Factor'!$C$19</f>
        <v>92.847160000000002</v>
      </c>
      <c r="M121" s="2">
        <f>H121*'Linking Factor'!$D$19</f>
        <v>93.100000000000009</v>
      </c>
      <c r="N121" s="2">
        <f>I121*'Linking Factor'!$E$19</f>
        <v>92.962549999999993</v>
      </c>
    </row>
    <row r="122" spans="1:14" x14ac:dyDescent="0.25">
      <c r="A122">
        <v>2022</v>
      </c>
      <c r="B122" t="s">
        <v>24</v>
      </c>
      <c r="C122" t="s">
        <v>11</v>
      </c>
      <c r="F122" t="s">
        <v>12</v>
      </c>
      <c r="G122">
        <v>177.1</v>
      </c>
      <c r="H122">
        <v>174.1</v>
      </c>
      <c r="I122">
        <v>175.7</v>
      </c>
      <c r="J122" t="s">
        <v>13</v>
      </c>
      <c r="L122" s="2">
        <f>G122*'Linking Factor'!$C$19</f>
        <v>92.481619999999992</v>
      </c>
      <c r="M122" s="2">
        <f>H122*'Linking Factor'!$D$19</f>
        <v>92.621200000000002</v>
      </c>
      <c r="N122" s="2">
        <f>I122*'Linking Factor'!$E$19</f>
        <v>92.541189999999986</v>
      </c>
    </row>
    <row r="123" spans="1:14" x14ac:dyDescent="0.25">
      <c r="A123">
        <v>2023</v>
      </c>
      <c r="B123" t="s">
        <v>10</v>
      </c>
      <c r="C123" t="s">
        <v>11</v>
      </c>
      <c r="F123" t="s">
        <v>12</v>
      </c>
      <c r="G123">
        <v>177.8</v>
      </c>
      <c r="H123">
        <v>174.9</v>
      </c>
      <c r="I123">
        <v>176.5</v>
      </c>
      <c r="J123" t="s">
        <v>13</v>
      </c>
      <c r="L123" s="2">
        <f>G123*'Linking Factor'!$C$19</f>
        <v>92.847160000000002</v>
      </c>
      <c r="M123" s="2">
        <f>H123*'Linking Factor'!$D$19</f>
        <v>93.046800000000005</v>
      </c>
      <c r="N123" s="2">
        <f>I123*'Linking Factor'!$E$19</f>
        <v>92.962549999999993</v>
      </c>
    </row>
    <row r="124" spans="1:14" x14ac:dyDescent="0.25">
      <c r="A124">
        <v>2023</v>
      </c>
      <c r="B124" t="s">
        <v>14</v>
      </c>
      <c r="C124" t="s">
        <v>11</v>
      </c>
      <c r="F124" t="s">
        <v>12</v>
      </c>
      <c r="G124">
        <v>177.9</v>
      </c>
      <c r="H124">
        <v>175.6</v>
      </c>
      <c r="I124">
        <v>176.8</v>
      </c>
      <c r="J124" t="s">
        <v>13</v>
      </c>
      <c r="L124" s="2">
        <f>G124*'Linking Factor'!$C$19</f>
        <v>92.899380000000008</v>
      </c>
      <c r="M124" s="2">
        <f>H124*'Linking Factor'!$D$19</f>
        <v>93.419200000000004</v>
      </c>
      <c r="N124" s="2">
        <f>I124*'Linking Factor'!$E$19</f>
        <v>93.120559999999998</v>
      </c>
    </row>
    <row r="125" spans="1:14" x14ac:dyDescent="0.25">
      <c r="A125">
        <v>2023</v>
      </c>
      <c r="B125" t="s">
        <v>15</v>
      </c>
      <c r="C125" t="s">
        <v>11</v>
      </c>
      <c r="F125" t="s">
        <v>12</v>
      </c>
      <c r="G125">
        <v>178</v>
      </c>
      <c r="H125">
        <v>176.3</v>
      </c>
      <c r="I125">
        <v>177.2</v>
      </c>
      <c r="J125" t="s">
        <v>13</v>
      </c>
      <c r="L125" s="2">
        <f>G125*'Linking Factor'!$C$19</f>
        <v>92.951599999999999</v>
      </c>
      <c r="M125" s="2">
        <f>H125*'Linking Factor'!$D$19</f>
        <v>93.791600000000017</v>
      </c>
      <c r="N125" s="2">
        <f>I125*'Linking Factor'!$E$19</f>
        <v>93.33123999999998</v>
      </c>
    </row>
    <row r="126" spans="1:14" x14ac:dyDescent="0.25">
      <c r="A126">
        <v>2023</v>
      </c>
      <c r="B126" t="s">
        <v>16</v>
      </c>
      <c r="C126" t="s">
        <v>11</v>
      </c>
      <c r="F126" t="s">
        <v>12</v>
      </c>
      <c r="G126">
        <v>178.8</v>
      </c>
      <c r="H126">
        <v>177.4</v>
      </c>
      <c r="I126">
        <v>178.1</v>
      </c>
      <c r="J126" t="s">
        <v>13</v>
      </c>
      <c r="L126" s="2">
        <f>G126*'Linking Factor'!$C$19</f>
        <v>93.36936</v>
      </c>
      <c r="M126" s="2">
        <f>H126*'Linking Factor'!$D$19</f>
        <v>94.376800000000003</v>
      </c>
      <c r="N126" s="2">
        <f>I126*'Linking Factor'!$E$19</f>
        <v>93.805269999999993</v>
      </c>
    </row>
    <row r="127" spans="1:14" x14ac:dyDescent="0.25">
      <c r="A127">
        <v>2023</v>
      </c>
      <c r="B127" t="s">
        <v>17</v>
      </c>
      <c r="C127" t="s">
        <v>11</v>
      </c>
      <c r="F127" t="s">
        <v>12</v>
      </c>
      <c r="G127">
        <v>179.8</v>
      </c>
      <c r="H127">
        <v>178.2</v>
      </c>
      <c r="I127">
        <v>179.1</v>
      </c>
      <c r="J127" t="s">
        <v>13</v>
      </c>
      <c r="L127" s="2">
        <f>G127*'Linking Factor'!$C$19</f>
        <v>93.891560000000013</v>
      </c>
      <c r="M127" s="2">
        <f>H127*'Linking Factor'!$D$19</f>
        <v>94.802400000000006</v>
      </c>
      <c r="N127" s="2">
        <f>I127*'Linking Factor'!$E$19</f>
        <v>94.331969999999984</v>
      </c>
    </row>
    <row r="128" spans="1:14" x14ac:dyDescent="0.25">
      <c r="A128">
        <v>2023</v>
      </c>
      <c r="B128" t="s">
        <v>18</v>
      </c>
      <c r="C128" t="s">
        <v>11</v>
      </c>
      <c r="F128" t="s">
        <v>12</v>
      </c>
      <c r="G128">
        <v>181.9</v>
      </c>
      <c r="H128">
        <v>179.9</v>
      </c>
      <c r="I128">
        <v>181</v>
      </c>
      <c r="J128" t="s">
        <v>13</v>
      </c>
      <c r="L128" s="2">
        <f>G128*'Linking Factor'!$C$19</f>
        <v>94.98818</v>
      </c>
      <c r="M128" s="2">
        <f>H128*'Linking Factor'!$D$19</f>
        <v>95.706800000000001</v>
      </c>
      <c r="N128" s="2">
        <f>I128*'Linking Factor'!$E$19</f>
        <v>95.332699999999988</v>
      </c>
    </row>
    <row r="129" spans="1:14" x14ac:dyDescent="0.25">
      <c r="A129">
        <v>2023</v>
      </c>
      <c r="B129" t="s">
        <v>19</v>
      </c>
      <c r="C129" t="s">
        <v>11</v>
      </c>
      <c r="F129" t="s">
        <v>12</v>
      </c>
      <c r="G129">
        <v>187.6</v>
      </c>
      <c r="H129">
        <v>184.7</v>
      </c>
      <c r="I129">
        <v>186.3</v>
      </c>
      <c r="J129" t="s">
        <v>13</v>
      </c>
      <c r="L129" s="2">
        <f>G129*'Linking Factor'!$C$19</f>
        <v>97.96472</v>
      </c>
      <c r="M129" s="2">
        <f>H129*'Linking Factor'!$D$19</f>
        <v>98.260400000000004</v>
      </c>
      <c r="N129" s="2">
        <f>I129*'Linking Factor'!$E$19</f>
        <v>98.124209999999991</v>
      </c>
    </row>
    <row r="130" spans="1:14" x14ac:dyDescent="0.25">
      <c r="A130">
        <v>2023</v>
      </c>
      <c r="B130" t="s">
        <v>20</v>
      </c>
      <c r="C130" t="s">
        <v>11</v>
      </c>
      <c r="F130" t="s">
        <v>12</v>
      </c>
      <c r="G130">
        <v>187.6</v>
      </c>
      <c r="H130">
        <v>184.5</v>
      </c>
      <c r="I130">
        <v>186.2</v>
      </c>
      <c r="J130" t="s">
        <v>13</v>
      </c>
      <c r="L130" s="2">
        <f>G130*'Linking Factor'!$C$19</f>
        <v>97.96472</v>
      </c>
      <c r="M130" s="2">
        <f>H130*'Linking Factor'!$D$19</f>
        <v>98.154000000000011</v>
      </c>
      <c r="N130" s="2">
        <f>I130*'Linking Factor'!$E$19</f>
        <v>98.071539999999985</v>
      </c>
    </row>
    <row r="131" spans="1:14" x14ac:dyDescent="0.25">
      <c r="A131">
        <v>2023</v>
      </c>
      <c r="B131" t="s">
        <v>21</v>
      </c>
      <c r="C131" t="s">
        <v>11</v>
      </c>
      <c r="F131" t="s">
        <v>12</v>
      </c>
      <c r="G131">
        <v>185.8</v>
      </c>
      <c r="H131">
        <v>182.2</v>
      </c>
      <c r="I131">
        <v>184.1</v>
      </c>
      <c r="J131" t="s">
        <v>13</v>
      </c>
      <c r="L131" s="2">
        <f>G131*'Linking Factor'!$C$19</f>
        <v>97.024760000000001</v>
      </c>
      <c r="M131" s="2">
        <f>H131*'Linking Factor'!$D$19</f>
        <v>96.930400000000006</v>
      </c>
      <c r="N131" s="2">
        <f>I131*'Linking Factor'!$E$19</f>
        <v>96.965469999999982</v>
      </c>
    </row>
    <row r="132" spans="1:14" x14ac:dyDescent="0.25">
      <c r="A132">
        <v>2023</v>
      </c>
      <c r="B132" t="s">
        <v>22</v>
      </c>
      <c r="C132" t="s">
        <v>11</v>
      </c>
      <c r="F132" t="s">
        <v>12</v>
      </c>
      <c r="G132">
        <v>187</v>
      </c>
      <c r="H132">
        <v>183.4</v>
      </c>
      <c r="I132">
        <v>185.3</v>
      </c>
      <c r="J132" t="s">
        <v>13</v>
      </c>
      <c r="L132" s="2">
        <f>G132*'Linking Factor'!$C$19</f>
        <v>97.651399999999995</v>
      </c>
      <c r="M132" s="2">
        <f>H132*'Linking Factor'!$D$19</f>
        <v>97.56880000000001</v>
      </c>
      <c r="N132" s="2">
        <f>I132*'Linking Factor'!$E$19</f>
        <v>97.59751</v>
      </c>
    </row>
    <row r="133" spans="1:14" x14ac:dyDescent="0.25">
      <c r="A133">
        <v>2023</v>
      </c>
      <c r="B133" t="s">
        <v>23</v>
      </c>
      <c r="C133" t="s">
        <v>11</v>
      </c>
      <c r="F133" t="s">
        <v>12</v>
      </c>
      <c r="G133">
        <v>188.2</v>
      </c>
      <c r="H133">
        <v>184.2</v>
      </c>
      <c r="I133">
        <v>186.3</v>
      </c>
      <c r="J133" t="s">
        <v>13</v>
      </c>
      <c r="L133" s="2">
        <f>G133*'Linking Factor'!$C$19</f>
        <v>98.27803999999999</v>
      </c>
      <c r="M133" s="2">
        <f>H133*'Linking Factor'!$D$19</f>
        <v>97.994399999999999</v>
      </c>
      <c r="N133" s="2">
        <f>I133*'Linking Factor'!$E$19</f>
        <v>98.124209999999991</v>
      </c>
    </row>
    <row r="134" spans="1:14" x14ac:dyDescent="0.25">
      <c r="A134">
        <v>2023</v>
      </c>
      <c r="B134" t="s">
        <v>24</v>
      </c>
      <c r="C134" t="s">
        <v>11</v>
      </c>
      <c r="F134" t="s">
        <v>12</v>
      </c>
      <c r="G134">
        <v>187.6</v>
      </c>
      <c r="H134">
        <v>183.6</v>
      </c>
      <c r="I134">
        <v>185.7</v>
      </c>
      <c r="J134" t="s">
        <v>13</v>
      </c>
      <c r="L134" s="2">
        <f>G134*'Linking Factor'!$C$19</f>
        <v>97.96472</v>
      </c>
      <c r="M134" s="2">
        <f>H134*'Linking Factor'!$D$19</f>
        <v>97.675200000000004</v>
      </c>
      <c r="N134" s="2">
        <f>I134*'Linking Factor'!$E$19</f>
        <v>97.808189999999982</v>
      </c>
    </row>
    <row r="135" spans="1:14" x14ac:dyDescent="0.25">
      <c r="A135">
        <v>2024</v>
      </c>
      <c r="B135" t="s">
        <v>10</v>
      </c>
      <c r="C135" t="s">
        <v>11</v>
      </c>
      <c r="F135" t="s">
        <v>12</v>
      </c>
      <c r="G135">
        <v>187.3</v>
      </c>
      <c r="H135">
        <v>183.5</v>
      </c>
      <c r="I135">
        <v>185.5</v>
      </c>
      <c r="J135" t="s">
        <v>13</v>
      </c>
      <c r="L135" s="2">
        <f>G135*'Linking Factor'!$C$19</f>
        <v>97.808060000000012</v>
      </c>
      <c r="M135" s="2">
        <f>H135*'Linking Factor'!$D$19</f>
        <v>97.622</v>
      </c>
      <c r="N135" s="2">
        <f>I135*'Linking Factor'!$E$19</f>
        <v>97.702849999999984</v>
      </c>
    </row>
    <row r="136" spans="1:14" x14ac:dyDescent="0.25">
      <c r="A136">
        <v>2024</v>
      </c>
      <c r="B136" t="s">
        <v>14</v>
      </c>
      <c r="C136" t="s">
        <v>11</v>
      </c>
      <c r="F136" t="s">
        <v>12</v>
      </c>
      <c r="G136">
        <v>187.4</v>
      </c>
      <c r="H136">
        <v>184</v>
      </c>
      <c r="I136">
        <v>185.8</v>
      </c>
      <c r="J136" t="s">
        <v>13</v>
      </c>
      <c r="L136" s="2">
        <f>G136*'Linking Factor'!$C$19</f>
        <v>97.860280000000003</v>
      </c>
      <c r="M136" s="2">
        <f>H136*'Linking Factor'!$D$19</f>
        <v>97.888000000000005</v>
      </c>
      <c r="N136" s="2">
        <f>I136*'Linking Factor'!$E$19</f>
        <v>97.860860000000002</v>
      </c>
    </row>
    <row r="137" spans="1:14" x14ac:dyDescent="0.25">
      <c r="A137">
        <v>2024</v>
      </c>
      <c r="B137" t="s">
        <v>15</v>
      </c>
      <c r="C137" t="s">
        <v>11</v>
      </c>
      <c r="F137" t="s">
        <v>12</v>
      </c>
      <c r="G137">
        <v>187.8</v>
      </c>
      <c r="H137">
        <v>183.6</v>
      </c>
      <c r="I137">
        <v>185.8</v>
      </c>
      <c r="J137" t="s">
        <v>13</v>
      </c>
      <c r="L137" s="2">
        <f>G137*'Linking Factor'!$C$19</f>
        <v>98.069160000000011</v>
      </c>
      <c r="M137" s="2">
        <f>H137*'Linking Factor'!$D$19</f>
        <v>97.675200000000004</v>
      </c>
      <c r="N137" s="2">
        <f>I137*'Linking Factor'!$E$19</f>
        <v>97.860860000000002</v>
      </c>
    </row>
    <row r="138" spans="1:14" x14ac:dyDescent="0.25">
      <c r="A138">
        <v>2024</v>
      </c>
      <c r="B138" t="s">
        <v>16</v>
      </c>
      <c r="C138" t="s">
        <v>11</v>
      </c>
      <c r="F138" t="s">
        <v>12</v>
      </c>
      <c r="G138">
        <v>188.5</v>
      </c>
      <c r="H138">
        <v>184.7</v>
      </c>
      <c r="I138">
        <v>186.7</v>
      </c>
      <c r="J138" t="s">
        <v>13</v>
      </c>
      <c r="L138" s="2">
        <f>G138*'Linking Factor'!$C$19</f>
        <v>98.434700000000007</v>
      </c>
      <c r="M138" s="2">
        <f>H138*'Linking Factor'!$D$19</f>
        <v>98.260400000000004</v>
      </c>
      <c r="N138" s="2">
        <f>I138*'Linking Factor'!$E$19</f>
        <v>98.334889999999987</v>
      </c>
    </row>
    <row r="139" spans="1:14" x14ac:dyDescent="0.25">
      <c r="A139">
        <v>2024</v>
      </c>
      <c r="B139" t="s">
        <v>17</v>
      </c>
      <c r="C139" t="s">
        <v>11</v>
      </c>
      <c r="F139" t="s">
        <v>12</v>
      </c>
      <c r="G139">
        <v>189.4</v>
      </c>
      <c r="H139">
        <v>185.7</v>
      </c>
      <c r="I139">
        <v>187.7</v>
      </c>
      <c r="J139" t="s">
        <v>13</v>
      </c>
      <c r="L139" s="2">
        <f>G139*'Linking Factor'!$C$19</f>
        <v>98.904679999999999</v>
      </c>
      <c r="M139" s="2">
        <f>H139*'Linking Factor'!$D$19</f>
        <v>98.792400000000001</v>
      </c>
      <c r="N139" s="2">
        <f>I139*'Linking Factor'!$E$19</f>
        <v>98.861589999999978</v>
      </c>
    </row>
    <row r="140" spans="1:14" x14ac:dyDescent="0.25">
      <c r="A140">
        <v>2024</v>
      </c>
      <c r="B140" t="s">
        <v>18</v>
      </c>
      <c r="C140" t="s">
        <v>11</v>
      </c>
      <c r="F140" t="s">
        <v>12</v>
      </c>
      <c r="G140">
        <v>192.2</v>
      </c>
      <c r="H140">
        <v>187.8</v>
      </c>
      <c r="I140">
        <v>190.2</v>
      </c>
      <c r="J140" t="s">
        <v>13</v>
      </c>
      <c r="L140" s="2">
        <f>G140*'Linking Factor'!$C$19</f>
        <v>100.36684</v>
      </c>
      <c r="M140" s="2">
        <f>H140*'Linking Factor'!$D$19</f>
        <v>99.909600000000012</v>
      </c>
      <c r="N140" s="2">
        <f>I140*'Linking Factor'!$E$19</f>
        <v>100.17833999999998</v>
      </c>
    </row>
    <row r="141" spans="1:14" x14ac:dyDescent="0.25">
      <c r="A141">
        <v>2024</v>
      </c>
      <c r="B141" t="s">
        <v>19</v>
      </c>
      <c r="C141" t="s">
        <v>11</v>
      </c>
      <c r="F141" t="s">
        <v>12</v>
      </c>
      <c r="G141">
        <v>195.3</v>
      </c>
      <c r="H141">
        <v>190.3</v>
      </c>
      <c r="I141">
        <v>193</v>
      </c>
      <c r="J141" t="s">
        <v>13</v>
      </c>
      <c r="L141" s="2">
        <f>G141*'Linking Factor'!$C$19</f>
        <v>101.98566000000001</v>
      </c>
      <c r="M141" s="2">
        <f>H141*'Linking Factor'!$D$19</f>
        <v>101.23960000000001</v>
      </c>
      <c r="N141" s="2">
        <f>I141*'Linking Factor'!$E$19</f>
        <v>101.65309999999999</v>
      </c>
    </row>
    <row r="142" spans="1:14" x14ac:dyDescent="0.25">
      <c r="A142">
        <v>2024</v>
      </c>
      <c r="B142" t="s">
        <v>20</v>
      </c>
      <c r="C142" t="s">
        <v>11</v>
      </c>
      <c r="F142" t="s">
        <v>12</v>
      </c>
      <c r="G142">
        <v>195.4</v>
      </c>
      <c r="H142">
        <v>190.3</v>
      </c>
      <c r="I142">
        <v>193</v>
      </c>
      <c r="J142" t="s">
        <v>13</v>
      </c>
      <c r="L142" s="2">
        <f>G142*'Linking Factor'!$C$19</f>
        <v>102.03788</v>
      </c>
      <c r="M142" s="2">
        <f>H142*'Linking Factor'!$D$19</f>
        <v>101.23960000000001</v>
      </c>
      <c r="N142" s="2">
        <f>I142*'Linking Factor'!$E$19</f>
        <v>101.65309999999999</v>
      </c>
    </row>
    <row r="143" spans="1:14" x14ac:dyDescent="0.25">
      <c r="A143">
        <v>2024</v>
      </c>
      <c r="B143" t="s">
        <v>21</v>
      </c>
      <c r="C143" t="s">
        <v>11</v>
      </c>
      <c r="F143" t="s">
        <v>12</v>
      </c>
      <c r="G143">
        <v>196.7</v>
      </c>
      <c r="H143">
        <v>191.4</v>
      </c>
      <c r="I143">
        <v>194.2</v>
      </c>
      <c r="J143" t="s">
        <v>13</v>
      </c>
      <c r="L143" s="2">
        <f>G143*'Linking Factor'!$C$19</f>
        <v>102.71673999999999</v>
      </c>
      <c r="M143" s="2">
        <f>H143*'Linking Factor'!$D$19</f>
        <v>101.82480000000001</v>
      </c>
      <c r="N143" s="2">
        <f>I143*'Linking Factor'!$E$19</f>
        <v>102.28513999999998</v>
      </c>
    </row>
    <row r="144" spans="1:14" x14ac:dyDescent="0.25">
      <c r="A144">
        <v>2024</v>
      </c>
      <c r="B144" t="s">
        <v>22</v>
      </c>
      <c r="C144" t="s">
        <v>11</v>
      </c>
      <c r="F144" t="s">
        <v>12</v>
      </c>
      <c r="G144">
        <v>199.5</v>
      </c>
      <c r="H144">
        <v>193.7</v>
      </c>
      <c r="I144">
        <v>196.8</v>
      </c>
      <c r="J144" t="s">
        <v>13</v>
      </c>
      <c r="L144" s="2">
        <f>G144*'Linking Factor'!$C$19</f>
        <v>104.1789</v>
      </c>
      <c r="M144" s="2">
        <f>H144*'Linking Factor'!$D$19</f>
        <v>103.0484</v>
      </c>
      <c r="N144" s="2">
        <f>I144*'Linking Factor'!$E$19</f>
        <v>103.65455999999999</v>
      </c>
    </row>
    <row r="145" spans="1:14" x14ac:dyDescent="0.25">
      <c r="A145">
        <v>2024</v>
      </c>
      <c r="B145" t="s">
        <v>23</v>
      </c>
      <c r="C145" t="s">
        <v>11</v>
      </c>
      <c r="F145" t="s">
        <v>12</v>
      </c>
      <c r="G145">
        <v>199.4</v>
      </c>
      <c r="H145">
        <v>193.2</v>
      </c>
      <c r="I145">
        <v>196.5</v>
      </c>
      <c r="J145" t="s">
        <v>13</v>
      </c>
      <c r="L145" s="2">
        <f>G145*'Linking Factor'!$C$19</f>
        <v>104.12668000000001</v>
      </c>
      <c r="M145" s="2">
        <f>H145*'Linking Factor'!$D$19</f>
        <v>102.7824</v>
      </c>
      <c r="N145" s="2">
        <f>I145*'Linking Factor'!$E$19</f>
        <v>103.49654999999998</v>
      </c>
    </row>
    <row r="146" spans="1:14" x14ac:dyDescent="0.25">
      <c r="A146">
        <v>2024</v>
      </c>
      <c r="B146" t="s">
        <v>24</v>
      </c>
      <c r="C146" t="s">
        <v>11</v>
      </c>
      <c r="F146" t="s">
        <v>12</v>
      </c>
      <c r="G146">
        <v>198.4</v>
      </c>
      <c r="H146">
        <v>192</v>
      </c>
      <c r="I146">
        <v>195.4</v>
      </c>
      <c r="J146" t="s">
        <v>13</v>
      </c>
      <c r="L146" s="2">
        <f>G146*'Linking Factor'!$C$19</f>
        <v>103.60448000000001</v>
      </c>
      <c r="M146" s="2">
        <f>H146*'Linking Factor'!$D$19</f>
        <v>102.14400000000001</v>
      </c>
      <c r="N146" s="2">
        <f>I146*'Linking Factor'!$E$19</f>
        <v>102.91717999999999</v>
      </c>
    </row>
    <row r="147" spans="1:14" x14ac:dyDescent="0.25">
      <c r="A147">
        <v>2025</v>
      </c>
      <c r="B147" t="s">
        <v>10</v>
      </c>
      <c r="C147" t="s">
        <v>11</v>
      </c>
      <c r="F147" t="s">
        <v>12</v>
      </c>
      <c r="G147">
        <v>195.9</v>
      </c>
      <c r="H147">
        <v>190.6</v>
      </c>
      <c r="I147">
        <v>193.4</v>
      </c>
      <c r="J147" t="s">
        <v>13</v>
      </c>
      <c r="L147" s="2">
        <f>G147*'Linking Factor'!$C$19</f>
        <v>102.29898</v>
      </c>
      <c r="M147" s="2">
        <f>H147*'Linking Factor'!$D$19</f>
        <v>101.39920000000001</v>
      </c>
      <c r="N147" s="2">
        <f>I147*'Linking Factor'!$E$19</f>
        <v>101.86377999999999</v>
      </c>
    </row>
    <row r="148" spans="1:14" x14ac:dyDescent="0.25">
      <c r="A148">
        <v>2025</v>
      </c>
      <c r="B148" t="s">
        <v>14</v>
      </c>
      <c r="C148" t="s">
        <v>11</v>
      </c>
      <c r="F148" t="s">
        <v>12</v>
      </c>
      <c r="G148">
        <v>194.5</v>
      </c>
      <c r="H148">
        <v>190.1</v>
      </c>
      <c r="I148">
        <v>192.5</v>
      </c>
      <c r="J148" t="s">
        <v>13</v>
      </c>
      <c r="L148" s="2">
        <f>G148*'Linking Factor'!$C$19</f>
        <v>101.56789999999999</v>
      </c>
      <c r="M148" s="2">
        <f>H148*'Linking Factor'!$D$19</f>
        <v>101.1332</v>
      </c>
      <c r="N148" s="2">
        <f>I148*'Linking Factor'!$E$19</f>
        <v>101.38974999999999</v>
      </c>
    </row>
    <row r="149" spans="1:14" x14ac:dyDescent="0.25">
      <c r="A149">
        <v>2025</v>
      </c>
      <c r="B149" t="s">
        <v>15</v>
      </c>
      <c r="C149" t="s">
        <v>11</v>
      </c>
      <c r="F149" t="s">
        <v>12</v>
      </c>
      <c r="G149">
        <v>193.9</v>
      </c>
      <c r="H149">
        <v>189.9</v>
      </c>
      <c r="I149">
        <v>192</v>
      </c>
      <c r="J149" t="s">
        <v>13</v>
      </c>
      <c r="L149" s="2">
        <f>G149*'Linking Factor'!$C$19</f>
        <v>101.25458</v>
      </c>
      <c r="M149" s="2">
        <f>H149*'Linking Factor'!$D$19</f>
        <v>101.02680000000001</v>
      </c>
      <c r="N149" s="2">
        <f>I149*'Linking Factor'!$E$19</f>
        <v>101.12639999999999</v>
      </c>
    </row>
    <row r="150" spans="1:14" x14ac:dyDescent="0.25">
      <c r="A150">
        <v>2025</v>
      </c>
      <c r="B150" t="s">
        <v>16</v>
      </c>
      <c r="C150" t="s">
        <v>11</v>
      </c>
      <c r="F150" t="s">
        <v>12</v>
      </c>
      <c r="G150">
        <v>194</v>
      </c>
      <c r="H150">
        <v>190.9</v>
      </c>
      <c r="I150">
        <v>192.6</v>
      </c>
      <c r="J150" t="s">
        <v>13</v>
      </c>
      <c r="L150" s="2">
        <f>G150*'Linking Factor'!$C$19</f>
        <v>101.3068</v>
      </c>
      <c r="M150" s="2">
        <f>H150*'Linking Factor'!$D$19</f>
        <v>101.55880000000001</v>
      </c>
      <c r="N150" s="2">
        <f>I150*'Linking Factor'!$E$19</f>
        <v>101.44241999999998</v>
      </c>
    </row>
    <row r="151" spans="1:14" x14ac:dyDescent="0.25">
      <c r="A151">
        <v>2025</v>
      </c>
      <c r="B151" t="s">
        <v>17</v>
      </c>
      <c r="C151" t="s">
        <v>11</v>
      </c>
      <c r="F151" t="s">
        <v>12</v>
      </c>
      <c r="G151">
        <v>194.3</v>
      </c>
      <c r="H151">
        <v>191.5</v>
      </c>
      <c r="I151">
        <v>193</v>
      </c>
      <c r="J151" t="s">
        <v>13</v>
      </c>
      <c r="L151" s="2">
        <f>G151*'Linking Factor'!$C$19</f>
        <v>101.46346000000001</v>
      </c>
      <c r="M151" s="2">
        <f>H151*'Linking Factor'!$D$19</f>
        <v>101.878</v>
      </c>
      <c r="N151" s="2">
        <f>I151*'Linking Factor'!$E$19</f>
        <v>101.65309999999999</v>
      </c>
    </row>
    <row r="152" spans="1:14" x14ac:dyDescent="0.25">
      <c r="A152">
        <v>2025</v>
      </c>
      <c r="B152" t="s">
        <v>18</v>
      </c>
      <c r="C152" t="s">
        <v>11</v>
      </c>
      <c r="F152" t="s">
        <v>12</v>
      </c>
      <c r="G152">
        <v>195.5</v>
      </c>
      <c r="H152">
        <v>192.6</v>
      </c>
      <c r="I152">
        <v>194.2</v>
      </c>
      <c r="J152" t="s">
        <v>13</v>
      </c>
      <c r="L152" s="2">
        <f>G152*'Linking Factor'!$C$19</f>
        <v>102.09009999999999</v>
      </c>
      <c r="M152" s="2">
        <f>H152*'Linking Factor'!$D$19</f>
        <v>102.4632</v>
      </c>
      <c r="N152" s="2">
        <f>I152*'Linking Factor'!$E$19</f>
        <v>102.28513999999998</v>
      </c>
    </row>
    <row r="153" spans="1:14" x14ac:dyDescent="0.25">
      <c r="A153">
        <v>2025</v>
      </c>
      <c r="B153" t="s">
        <v>19</v>
      </c>
      <c r="C153" t="s">
        <v>11</v>
      </c>
      <c r="F153" t="s">
        <v>12</v>
      </c>
      <c r="G153">
        <v>197.6</v>
      </c>
      <c r="H153">
        <v>194.3</v>
      </c>
      <c r="I153">
        <v>196.1</v>
      </c>
      <c r="J153" t="s">
        <v>13</v>
      </c>
      <c r="L153" s="2">
        <f>G153*'Linking Factor'!$C$19</f>
        <v>103.18671999999999</v>
      </c>
      <c r="M153" s="2">
        <f>H153*'Linking Factor'!$D$19</f>
        <v>103.36760000000001</v>
      </c>
      <c r="N153" s="2">
        <f>I153*'Linking Factor'!$E$19</f>
        <v>103.28586999999999</v>
      </c>
    </row>
    <row r="154" spans="1:14" x14ac:dyDescent="0.25">
      <c r="A154">
        <v>2025</v>
      </c>
      <c r="B154" t="s">
        <v>20</v>
      </c>
      <c r="C154" t="s">
        <v>11</v>
      </c>
      <c r="F154" t="s">
        <v>12</v>
      </c>
      <c r="G154">
        <v>198.7</v>
      </c>
      <c r="H154">
        <v>195</v>
      </c>
      <c r="I154">
        <v>197</v>
      </c>
      <c r="J154" t="s">
        <v>13</v>
      </c>
      <c r="L154" s="2">
        <f>G154*'Linking Factor'!$C$19</f>
        <v>103.76114</v>
      </c>
      <c r="M154" s="2">
        <f>H154*'Linking Factor'!$D$19</f>
        <v>103.74000000000001</v>
      </c>
      <c r="N154" s="2">
        <f>I154*'Linking Factor'!$E$19</f>
        <v>103.75989999999999</v>
      </c>
    </row>
    <row r="155" spans="1:14" x14ac:dyDescent="0.25">
      <c r="A155">
        <v>2025</v>
      </c>
      <c r="B155" t="s">
        <v>21</v>
      </c>
      <c r="C155" t="s">
        <v>11</v>
      </c>
      <c r="F155" t="s">
        <v>12</v>
      </c>
      <c r="G155">
        <v>198.8</v>
      </c>
      <c r="H155">
        <v>194.9</v>
      </c>
      <c r="I155">
        <v>197</v>
      </c>
      <c r="J155" t="s">
        <v>13</v>
      </c>
      <c r="L155" s="2">
        <f>G155*'Linking Factor'!$C$19</f>
        <v>103.81336</v>
      </c>
      <c r="M155" s="2">
        <f>H155*'Linking Factor'!$D$19</f>
        <v>103.68680000000001</v>
      </c>
      <c r="N155" s="2">
        <f>I155*'Linking Factor'!$E$19</f>
        <v>103.75989999999999</v>
      </c>
    </row>
    <row r="156" spans="1:14" x14ac:dyDescent="0.25">
      <c r="A156">
        <v>2025</v>
      </c>
      <c r="B156" t="s">
        <v>22</v>
      </c>
      <c r="C156" t="s">
        <v>11</v>
      </c>
      <c r="F156" t="s">
        <v>12</v>
      </c>
      <c r="G156">
        <v>199</v>
      </c>
      <c r="H156">
        <v>195.4</v>
      </c>
      <c r="I156">
        <v>197.3</v>
      </c>
      <c r="J156" t="s">
        <v>13</v>
      </c>
      <c r="L156" s="2">
        <f>G156*'Linking Factor'!$C$19</f>
        <v>103.9178</v>
      </c>
      <c r="M156" s="2">
        <f>H156*'Linking Factor'!$D$19</f>
        <v>103.95280000000001</v>
      </c>
      <c r="N156" s="2">
        <f>I156*'Linking Factor'!$E$19</f>
        <v>103.91790999999999</v>
      </c>
    </row>
    <row r="157" spans="1:14" x14ac:dyDescent="0.25">
      <c r="A157">
        <v>2025</v>
      </c>
      <c r="B157" t="s">
        <v>23</v>
      </c>
      <c r="C157" t="s">
        <v>11</v>
      </c>
      <c r="F157" t="s">
        <v>12</v>
      </c>
      <c r="G157">
        <v>199.6</v>
      </c>
      <c r="H157">
        <v>195.9</v>
      </c>
      <c r="I157">
        <v>197.9</v>
      </c>
      <c r="J157" t="s">
        <v>13</v>
      </c>
      <c r="L157" s="2">
        <f>G157*'Linking Factor'!$C$19</f>
        <v>104.23111999999999</v>
      </c>
      <c r="M157" s="2">
        <f>H157*'Linking Factor'!$D$19</f>
        <v>104.2188</v>
      </c>
      <c r="N157" s="2">
        <f>I157*'Linking Factor'!$E$19</f>
        <v>104.23392999999999</v>
      </c>
    </row>
    <row r="158" spans="1:14" x14ac:dyDescent="0.25">
      <c r="A158">
        <v>2025</v>
      </c>
      <c r="B158" t="s">
        <v>24</v>
      </c>
      <c r="C158" t="s">
        <v>11</v>
      </c>
      <c r="F158" t="s">
        <v>12</v>
      </c>
      <c r="G158">
        <v>199.9</v>
      </c>
      <c r="H158">
        <v>195.9</v>
      </c>
      <c r="I158">
        <v>198</v>
      </c>
      <c r="J158" t="s">
        <v>26</v>
      </c>
      <c r="L158" s="2">
        <f>G158*'Linking Factor'!$C$19</f>
        <v>104.38778000000001</v>
      </c>
      <c r="M158" s="2">
        <f>H158*'Linking Factor'!$D$19</f>
        <v>104.2188</v>
      </c>
      <c r="N158" s="2">
        <f>I158*'Linking Factor'!$E$19</f>
        <v>104.28659999999999</v>
      </c>
    </row>
  </sheetData>
  <autoFilter ref="A2:N158" xr:uid="{00000000-0009-0000-0000-000000000000}"/>
  <mergeCells count="2">
    <mergeCell ref="L1:N1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"/>
  <sheetViews>
    <sheetView workbookViewId="0">
      <selection sqref="A1:F157"/>
    </sheetView>
  </sheetViews>
  <sheetFormatPr defaultRowHeight="15" x14ac:dyDescent="0.25"/>
  <cols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25">
      <c r="A2">
        <v>2013</v>
      </c>
      <c r="B2" t="s">
        <v>10</v>
      </c>
      <c r="C2" t="s">
        <v>11</v>
      </c>
      <c r="D2" s="2">
        <v>54.883219999999994</v>
      </c>
      <c r="E2" s="2">
        <v>55.328000000000003</v>
      </c>
      <c r="F2" s="2">
        <v>55.092819999999989</v>
      </c>
    </row>
    <row r="3" spans="1:6" x14ac:dyDescent="0.25">
      <c r="A3">
        <v>2013</v>
      </c>
      <c r="B3" t="s">
        <v>14</v>
      </c>
      <c r="C3" t="s">
        <v>11</v>
      </c>
      <c r="D3" s="2">
        <v>55.248759999999997</v>
      </c>
      <c r="E3" s="2">
        <v>55.700400000000002</v>
      </c>
      <c r="F3" s="2">
        <v>55.46150999999999</v>
      </c>
    </row>
    <row r="4" spans="1:6" x14ac:dyDescent="0.25">
      <c r="A4">
        <v>2013</v>
      </c>
      <c r="B4" t="s">
        <v>15</v>
      </c>
      <c r="C4" t="s">
        <v>11</v>
      </c>
      <c r="D4" s="2">
        <v>55.353200000000001</v>
      </c>
      <c r="E4" s="2">
        <v>55.86</v>
      </c>
      <c r="F4" s="2">
        <v>55.566849999999995</v>
      </c>
    </row>
    <row r="5" spans="1:6" x14ac:dyDescent="0.25">
      <c r="A5">
        <v>2013</v>
      </c>
      <c r="B5" t="s">
        <v>16</v>
      </c>
      <c r="C5" t="s">
        <v>11</v>
      </c>
      <c r="D5" s="2">
        <v>55.562080000000002</v>
      </c>
      <c r="E5" s="2">
        <v>56.232400000000005</v>
      </c>
      <c r="F5" s="2">
        <v>55.88286999999999</v>
      </c>
    </row>
    <row r="6" spans="1:6" x14ac:dyDescent="0.25">
      <c r="A6">
        <v>2013</v>
      </c>
      <c r="B6" t="s">
        <v>17</v>
      </c>
      <c r="C6" t="s">
        <v>11</v>
      </c>
      <c r="D6" s="2">
        <v>55.979840000000003</v>
      </c>
      <c r="E6" s="2">
        <v>56.711199999999998</v>
      </c>
      <c r="F6" s="2">
        <v>56.304229999999997</v>
      </c>
    </row>
    <row r="7" spans="1:6" x14ac:dyDescent="0.25">
      <c r="A7">
        <v>2013</v>
      </c>
      <c r="B7" t="s">
        <v>18</v>
      </c>
      <c r="C7" t="s">
        <v>11</v>
      </c>
      <c r="D7" s="2">
        <v>56.867580000000004</v>
      </c>
      <c r="E7" s="2">
        <v>58.360400000000006</v>
      </c>
      <c r="F7" s="2">
        <v>57.56830999999999</v>
      </c>
    </row>
    <row r="8" spans="1:6" x14ac:dyDescent="0.25">
      <c r="A8">
        <v>2013</v>
      </c>
      <c r="B8" t="s">
        <v>19</v>
      </c>
      <c r="C8" t="s">
        <v>11</v>
      </c>
      <c r="D8" s="2">
        <v>57.807540000000003</v>
      </c>
      <c r="E8" s="2">
        <v>59.264800000000008</v>
      </c>
      <c r="F8" s="2">
        <v>58.463699999999996</v>
      </c>
    </row>
    <row r="9" spans="1:6" x14ac:dyDescent="0.25">
      <c r="A9">
        <v>2013</v>
      </c>
      <c r="B9" t="s">
        <v>20</v>
      </c>
      <c r="C9" t="s">
        <v>11</v>
      </c>
      <c r="D9" s="2">
        <v>58.538619999999995</v>
      </c>
      <c r="E9" s="2">
        <v>59.956400000000002</v>
      </c>
      <c r="F9" s="2">
        <v>59.201079999999997</v>
      </c>
    </row>
    <row r="10" spans="1:6" x14ac:dyDescent="0.25">
      <c r="A10">
        <v>2013</v>
      </c>
      <c r="B10" t="s">
        <v>21</v>
      </c>
      <c r="C10" t="s">
        <v>11</v>
      </c>
      <c r="D10" s="2">
        <v>59.635240000000003</v>
      </c>
      <c r="E10" s="2">
        <v>60.222400000000007</v>
      </c>
      <c r="F10" s="2">
        <v>59.885789999999993</v>
      </c>
    </row>
    <row r="11" spans="1:6" x14ac:dyDescent="0.25">
      <c r="A11">
        <v>2013</v>
      </c>
      <c r="B11" t="s">
        <v>22</v>
      </c>
      <c r="C11" t="s">
        <v>11</v>
      </c>
      <c r="D11" s="2">
        <v>60.314099999999996</v>
      </c>
      <c r="E11" s="2">
        <v>60.648000000000003</v>
      </c>
      <c r="F11" s="2">
        <v>60.46515999999999</v>
      </c>
    </row>
    <row r="12" spans="1:6" x14ac:dyDescent="0.25">
      <c r="A12">
        <v>2013</v>
      </c>
      <c r="B12" t="s">
        <v>23</v>
      </c>
      <c r="C12" t="s">
        <v>11</v>
      </c>
      <c r="D12" s="2">
        <v>61.306280000000001</v>
      </c>
      <c r="E12" s="2">
        <v>61.180000000000007</v>
      </c>
      <c r="F12" s="2">
        <v>61.255209999999991</v>
      </c>
    </row>
    <row r="13" spans="1:6" x14ac:dyDescent="0.25">
      <c r="A13">
        <v>2013</v>
      </c>
      <c r="B13" t="s">
        <v>24</v>
      </c>
      <c r="C13" t="s">
        <v>11</v>
      </c>
      <c r="D13" s="2">
        <v>60.314099999999996</v>
      </c>
      <c r="E13" s="2">
        <v>60.275600000000004</v>
      </c>
      <c r="F13" s="2">
        <v>60.307149999999993</v>
      </c>
    </row>
    <row r="14" spans="1:6" x14ac:dyDescent="0.25">
      <c r="A14">
        <v>2014</v>
      </c>
      <c r="B14" t="s">
        <v>10</v>
      </c>
      <c r="C14" t="s">
        <v>11</v>
      </c>
      <c r="D14" s="2">
        <v>59.635240000000003</v>
      </c>
      <c r="E14" s="2">
        <v>60.062800000000003</v>
      </c>
      <c r="F14" s="2">
        <v>59.833119999999994</v>
      </c>
    </row>
    <row r="15" spans="1:6" x14ac:dyDescent="0.25">
      <c r="A15">
        <v>2014</v>
      </c>
      <c r="B15" t="s">
        <v>14</v>
      </c>
      <c r="C15" t="s">
        <v>11</v>
      </c>
      <c r="D15" s="2">
        <v>59.530799999999999</v>
      </c>
      <c r="E15" s="2">
        <v>60.169200000000004</v>
      </c>
      <c r="F15" s="2">
        <v>59.833119999999994</v>
      </c>
    </row>
    <row r="16" spans="1:6" x14ac:dyDescent="0.25">
      <c r="A16">
        <v>2014</v>
      </c>
      <c r="B16" t="s">
        <v>15</v>
      </c>
      <c r="C16" t="s">
        <v>11</v>
      </c>
      <c r="D16" s="2">
        <v>59.844119999999997</v>
      </c>
      <c r="E16" s="2">
        <v>60.488400000000006</v>
      </c>
      <c r="F16" s="2">
        <v>60.149139999999996</v>
      </c>
    </row>
    <row r="17" spans="1:6" x14ac:dyDescent="0.25">
      <c r="A17">
        <v>2014</v>
      </c>
      <c r="B17" t="s">
        <v>16</v>
      </c>
      <c r="C17" t="s">
        <v>11</v>
      </c>
      <c r="D17" s="2">
        <v>60.261880000000005</v>
      </c>
      <c r="E17" s="2">
        <v>61.020400000000002</v>
      </c>
      <c r="F17" s="2">
        <v>60.623169999999988</v>
      </c>
    </row>
    <row r="18" spans="1:6" x14ac:dyDescent="0.25">
      <c r="A18">
        <v>2014</v>
      </c>
      <c r="B18" t="s">
        <v>17</v>
      </c>
      <c r="C18" t="s">
        <v>11</v>
      </c>
      <c r="D18" s="2">
        <v>60.575200000000002</v>
      </c>
      <c r="E18" s="2">
        <v>61.499200000000002</v>
      </c>
      <c r="F18" s="2">
        <v>60.991859999999996</v>
      </c>
    </row>
    <row r="19" spans="1:6" x14ac:dyDescent="0.25">
      <c r="A19">
        <v>2014</v>
      </c>
      <c r="B19" t="s">
        <v>18</v>
      </c>
      <c r="C19" t="s">
        <v>11</v>
      </c>
      <c r="D19" s="2">
        <v>61.0974</v>
      </c>
      <c r="E19" s="2">
        <v>61.924800000000005</v>
      </c>
      <c r="F19" s="2">
        <v>61.465889999999995</v>
      </c>
    </row>
    <row r="20" spans="1:6" x14ac:dyDescent="0.25">
      <c r="A20">
        <v>2014</v>
      </c>
      <c r="B20" t="s">
        <v>19</v>
      </c>
      <c r="C20" t="s">
        <v>11</v>
      </c>
      <c r="D20" s="2">
        <v>62.402900000000002</v>
      </c>
      <c r="E20" s="2">
        <v>63.254800000000003</v>
      </c>
      <c r="F20" s="2">
        <v>62.782639999999994</v>
      </c>
    </row>
    <row r="21" spans="1:6" x14ac:dyDescent="0.25">
      <c r="A21">
        <v>2014</v>
      </c>
      <c r="B21" t="s">
        <v>20</v>
      </c>
      <c r="C21" t="s">
        <v>11</v>
      </c>
      <c r="D21" s="2">
        <v>63.029540000000004</v>
      </c>
      <c r="E21" s="2">
        <v>63.786800000000007</v>
      </c>
      <c r="F21" s="2">
        <v>63.362009999999991</v>
      </c>
    </row>
    <row r="22" spans="1:6" x14ac:dyDescent="0.25">
      <c r="A22">
        <v>2014</v>
      </c>
      <c r="B22" t="s">
        <v>21</v>
      </c>
      <c r="C22" t="s">
        <v>11</v>
      </c>
      <c r="D22" s="2">
        <v>63.133980000000001</v>
      </c>
      <c r="E22" s="2">
        <v>63.414400000000008</v>
      </c>
      <c r="F22" s="2">
        <v>63.256669999999993</v>
      </c>
    </row>
    <row r="23" spans="1:6" x14ac:dyDescent="0.25">
      <c r="A23">
        <v>2014</v>
      </c>
      <c r="B23" t="s">
        <v>22</v>
      </c>
      <c r="C23" t="s">
        <v>11</v>
      </c>
      <c r="D23" s="2">
        <v>63.186199999999999</v>
      </c>
      <c r="E23" s="2">
        <v>63.361200000000004</v>
      </c>
      <c r="F23" s="2">
        <v>63.256669999999993</v>
      </c>
    </row>
    <row r="24" spans="1:6" x14ac:dyDescent="0.25">
      <c r="A24">
        <v>2014</v>
      </c>
      <c r="B24" t="s">
        <v>23</v>
      </c>
      <c r="C24" t="s">
        <v>11</v>
      </c>
      <c r="D24" s="2">
        <v>63.238419999999998</v>
      </c>
      <c r="E24" s="2">
        <v>63.308000000000007</v>
      </c>
      <c r="F24" s="2">
        <v>63.256669999999993</v>
      </c>
    </row>
    <row r="25" spans="1:6" x14ac:dyDescent="0.25">
      <c r="A25">
        <v>2014</v>
      </c>
      <c r="B25" t="s">
        <v>24</v>
      </c>
      <c r="C25" t="s">
        <v>11</v>
      </c>
      <c r="D25" s="2">
        <v>62.820659999999997</v>
      </c>
      <c r="E25" s="2">
        <v>62.988800000000005</v>
      </c>
      <c r="F25" s="2">
        <v>62.887979999999999</v>
      </c>
    </row>
    <row r="26" spans="1:6" x14ac:dyDescent="0.25">
      <c r="A26">
        <v>2015</v>
      </c>
      <c r="B26" t="s">
        <v>10</v>
      </c>
      <c r="C26" t="s">
        <v>11</v>
      </c>
      <c r="D26" s="2">
        <v>62.820659999999997</v>
      </c>
      <c r="E26" s="2">
        <v>63.042000000000002</v>
      </c>
      <c r="F26" s="2">
        <v>62.940649999999991</v>
      </c>
    </row>
    <row r="27" spans="1:6" x14ac:dyDescent="0.25">
      <c r="A27">
        <v>2015</v>
      </c>
      <c r="B27" t="s">
        <v>14</v>
      </c>
      <c r="C27" t="s">
        <v>11</v>
      </c>
      <c r="D27" s="2">
        <v>62.977319999999999</v>
      </c>
      <c r="E27" s="2">
        <v>63.148400000000002</v>
      </c>
      <c r="F27" s="2">
        <v>63.045989999999996</v>
      </c>
    </row>
    <row r="28" spans="1:6" x14ac:dyDescent="0.25">
      <c r="A28">
        <v>2015</v>
      </c>
      <c r="B28" t="s">
        <v>15</v>
      </c>
      <c r="C28" t="s">
        <v>11</v>
      </c>
      <c r="D28" s="2">
        <v>63.238419999999998</v>
      </c>
      <c r="E28" s="2">
        <v>63.361200000000004</v>
      </c>
      <c r="F28" s="2">
        <v>63.309339999999992</v>
      </c>
    </row>
    <row r="29" spans="1:6" x14ac:dyDescent="0.25">
      <c r="A29">
        <v>2015</v>
      </c>
      <c r="B29" t="s">
        <v>16</v>
      </c>
      <c r="C29" t="s">
        <v>11</v>
      </c>
      <c r="D29" s="2">
        <v>63.447299999999998</v>
      </c>
      <c r="E29" s="2">
        <v>63.680400000000006</v>
      </c>
      <c r="F29" s="2">
        <v>63.572689999999994</v>
      </c>
    </row>
    <row r="30" spans="1:6" x14ac:dyDescent="0.25">
      <c r="A30">
        <v>2015</v>
      </c>
      <c r="B30" t="s">
        <v>17</v>
      </c>
      <c r="C30" t="s">
        <v>11</v>
      </c>
      <c r="D30" s="2">
        <v>63.917280000000005</v>
      </c>
      <c r="E30" s="2">
        <v>64.212400000000002</v>
      </c>
      <c r="F30" s="2">
        <v>64.046719999999993</v>
      </c>
    </row>
    <row r="31" spans="1:6" x14ac:dyDescent="0.25">
      <c r="A31">
        <v>2015</v>
      </c>
      <c r="B31" t="s">
        <v>18</v>
      </c>
      <c r="C31" t="s">
        <v>11</v>
      </c>
      <c r="D31" s="2">
        <v>64.805019999999999</v>
      </c>
      <c r="E31" s="2">
        <v>64.744399999999999</v>
      </c>
      <c r="F31" s="2">
        <v>64.784099999999995</v>
      </c>
    </row>
    <row r="32" spans="1:6" x14ac:dyDescent="0.25">
      <c r="A32">
        <v>2015</v>
      </c>
      <c r="B32" t="s">
        <v>19</v>
      </c>
      <c r="C32" t="s">
        <v>11</v>
      </c>
      <c r="D32" s="2">
        <v>65.118340000000003</v>
      </c>
      <c r="E32" s="2">
        <v>65.116800000000012</v>
      </c>
      <c r="F32" s="2">
        <v>65.10011999999999</v>
      </c>
    </row>
    <row r="33" spans="1:6" x14ac:dyDescent="0.25">
      <c r="A33">
        <v>2015</v>
      </c>
      <c r="B33" t="s">
        <v>20</v>
      </c>
      <c r="C33" t="s">
        <v>11</v>
      </c>
      <c r="D33" s="2">
        <v>65.849419999999995</v>
      </c>
      <c r="E33" s="2">
        <v>65.542400000000001</v>
      </c>
      <c r="F33" s="2">
        <v>65.732159999999993</v>
      </c>
    </row>
    <row r="34" spans="1:6" x14ac:dyDescent="0.25">
      <c r="A34">
        <v>2015</v>
      </c>
      <c r="B34" t="s">
        <v>21</v>
      </c>
      <c r="C34" t="s">
        <v>11</v>
      </c>
      <c r="D34" s="2">
        <v>66.319400000000002</v>
      </c>
      <c r="E34" s="2">
        <v>65.701999999999998</v>
      </c>
      <c r="F34" s="2">
        <v>66.048180000000002</v>
      </c>
    </row>
    <row r="35" spans="1:6" x14ac:dyDescent="0.25">
      <c r="A35">
        <v>2015</v>
      </c>
      <c r="B35" t="s">
        <v>22</v>
      </c>
      <c r="C35" t="s">
        <v>11</v>
      </c>
      <c r="D35" s="2">
        <v>66.684939999999997</v>
      </c>
      <c r="E35" s="2">
        <v>66.074400000000011</v>
      </c>
      <c r="F35" s="2">
        <v>66.416869999999989</v>
      </c>
    </row>
    <row r="36" spans="1:6" x14ac:dyDescent="0.25">
      <c r="A36">
        <v>2015</v>
      </c>
      <c r="B36" t="s">
        <v>23</v>
      </c>
      <c r="C36" t="s">
        <v>11</v>
      </c>
      <c r="D36" s="2">
        <v>66.998260000000002</v>
      </c>
      <c r="E36" s="2">
        <v>66.287199999999999</v>
      </c>
      <c r="F36" s="2">
        <v>66.680219999999991</v>
      </c>
    </row>
    <row r="37" spans="1:6" x14ac:dyDescent="0.25">
      <c r="A37">
        <v>2015</v>
      </c>
      <c r="B37" t="s">
        <v>24</v>
      </c>
      <c r="C37" t="s">
        <v>11</v>
      </c>
      <c r="D37" s="2">
        <v>66.789380000000008</v>
      </c>
      <c r="E37" s="2">
        <v>65.968000000000004</v>
      </c>
      <c r="F37" s="2">
        <v>66.416869999999989</v>
      </c>
    </row>
    <row r="38" spans="1:6" x14ac:dyDescent="0.25">
      <c r="A38">
        <v>2016</v>
      </c>
      <c r="B38" t="s">
        <v>10</v>
      </c>
      <c r="C38" t="s">
        <v>11</v>
      </c>
      <c r="D38" s="2">
        <v>66.893819999999991</v>
      </c>
      <c r="E38" s="2">
        <v>66.074400000000011</v>
      </c>
      <c r="F38" s="2">
        <v>66.522209999999987</v>
      </c>
    </row>
    <row r="39" spans="1:6" x14ac:dyDescent="0.25">
      <c r="A39">
        <v>2016</v>
      </c>
      <c r="B39" t="s">
        <v>14</v>
      </c>
      <c r="C39" t="s">
        <v>11</v>
      </c>
      <c r="D39" s="2">
        <v>66.789380000000008</v>
      </c>
      <c r="E39" s="2">
        <v>65.861599999999996</v>
      </c>
      <c r="F39" s="2">
        <v>66.364199999999997</v>
      </c>
    </row>
    <row r="40" spans="1:6" x14ac:dyDescent="0.25">
      <c r="A40">
        <v>2016</v>
      </c>
      <c r="B40" t="s">
        <v>15</v>
      </c>
      <c r="C40" t="s">
        <v>11</v>
      </c>
      <c r="D40" s="2">
        <v>66.8416</v>
      </c>
      <c r="E40" s="2">
        <v>65.861599999999996</v>
      </c>
      <c r="F40" s="2">
        <v>66.364199999999997</v>
      </c>
    </row>
    <row r="41" spans="1:6" x14ac:dyDescent="0.25">
      <c r="A41">
        <v>2016</v>
      </c>
      <c r="B41" t="s">
        <v>16</v>
      </c>
      <c r="C41" t="s">
        <v>11</v>
      </c>
      <c r="D41" s="2">
        <v>67.363799999999998</v>
      </c>
      <c r="E41" s="2">
        <v>66.659599999999998</v>
      </c>
      <c r="F41" s="2">
        <v>67.048909999999992</v>
      </c>
    </row>
    <row r="42" spans="1:6" x14ac:dyDescent="0.25">
      <c r="A42">
        <v>2016</v>
      </c>
      <c r="B42" t="s">
        <v>17</v>
      </c>
      <c r="C42" t="s">
        <v>11</v>
      </c>
      <c r="D42" s="2">
        <v>68.042660000000012</v>
      </c>
      <c r="E42" s="2">
        <v>67.351200000000006</v>
      </c>
      <c r="F42" s="2">
        <v>67.733619999999988</v>
      </c>
    </row>
    <row r="43" spans="1:6" x14ac:dyDescent="0.25">
      <c r="A43">
        <v>2016</v>
      </c>
      <c r="B43" t="s">
        <v>18</v>
      </c>
      <c r="C43" t="s">
        <v>11</v>
      </c>
      <c r="D43" s="2">
        <v>68.87818</v>
      </c>
      <c r="E43" s="2">
        <v>68.149200000000008</v>
      </c>
      <c r="F43" s="2">
        <v>68.523669999999996</v>
      </c>
    </row>
    <row r="44" spans="1:6" x14ac:dyDescent="0.25">
      <c r="A44">
        <v>2016</v>
      </c>
      <c r="B44" t="s">
        <v>19</v>
      </c>
      <c r="C44" t="s">
        <v>11</v>
      </c>
      <c r="D44" s="2">
        <v>69.452600000000004</v>
      </c>
      <c r="E44" s="2">
        <v>68.628</v>
      </c>
      <c r="F44" s="2">
        <v>69.050369999999987</v>
      </c>
    </row>
    <row r="45" spans="1:6" x14ac:dyDescent="0.25">
      <c r="A45">
        <v>2016</v>
      </c>
      <c r="B45" t="s">
        <v>20</v>
      </c>
      <c r="C45" t="s">
        <v>11</v>
      </c>
      <c r="D45" s="2">
        <v>69.713700000000003</v>
      </c>
      <c r="E45" s="2">
        <v>68.308800000000005</v>
      </c>
      <c r="F45" s="2">
        <v>69.050369999999987</v>
      </c>
    </row>
    <row r="46" spans="1:6" x14ac:dyDescent="0.25">
      <c r="A46">
        <v>2016</v>
      </c>
      <c r="B46" t="s">
        <v>21</v>
      </c>
      <c r="C46" t="s">
        <v>11</v>
      </c>
      <c r="D46" s="2">
        <v>69.661479999999997</v>
      </c>
      <c r="E46" s="2">
        <v>68.096000000000004</v>
      </c>
      <c r="F46" s="2">
        <v>68.945030000000003</v>
      </c>
    </row>
    <row r="47" spans="1:6" x14ac:dyDescent="0.25">
      <c r="A47">
        <v>2016</v>
      </c>
      <c r="B47" t="s">
        <v>22</v>
      </c>
      <c r="C47" t="s">
        <v>11</v>
      </c>
      <c r="D47" s="2">
        <v>69.870360000000005</v>
      </c>
      <c r="E47" s="2">
        <v>68.415199999999999</v>
      </c>
      <c r="F47" s="2">
        <v>69.208379999999991</v>
      </c>
    </row>
    <row r="48" spans="1:6" x14ac:dyDescent="0.25">
      <c r="A48">
        <v>2016</v>
      </c>
      <c r="B48" t="s">
        <v>23</v>
      </c>
      <c r="C48" t="s">
        <v>11</v>
      </c>
      <c r="D48" s="2">
        <v>69.765919999999994</v>
      </c>
      <c r="E48" s="2">
        <v>68.362000000000009</v>
      </c>
      <c r="F48" s="2">
        <v>69.103039999999993</v>
      </c>
    </row>
    <row r="49" spans="1:6" x14ac:dyDescent="0.25">
      <c r="A49">
        <v>2016</v>
      </c>
      <c r="B49" t="s">
        <v>24</v>
      </c>
      <c r="C49" t="s">
        <v>11</v>
      </c>
      <c r="D49" s="2">
        <v>69.348160000000007</v>
      </c>
      <c r="E49" s="2">
        <v>67.883200000000002</v>
      </c>
      <c r="F49" s="2">
        <v>68.68168</v>
      </c>
    </row>
    <row r="50" spans="1:6" x14ac:dyDescent="0.25">
      <c r="A50">
        <v>2017</v>
      </c>
      <c r="B50" t="s">
        <v>10</v>
      </c>
      <c r="C50" t="s">
        <v>11</v>
      </c>
      <c r="D50" s="2">
        <v>69.139279999999999</v>
      </c>
      <c r="E50" s="2">
        <v>67.989599999999996</v>
      </c>
      <c r="F50" s="2">
        <v>68.629009999999994</v>
      </c>
    </row>
    <row r="51" spans="1:6" x14ac:dyDescent="0.25">
      <c r="A51">
        <v>2017</v>
      </c>
      <c r="B51" t="s">
        <v>14</v>
      </c>
      <c r="C51" t="s">
        <v>11</v>
      </c>
      <c r="D51" s="2">
        <v>69.243719999999996</v>
      </c>
      <c r="E51" s="2">
        <v>68.202399999999997</v>
      </c>
      <c r="F51" s="2">
        <v>68.787019999999984</v>
      </c>
    </row>
    <row r="52" spans="1:6" x14ac:dyDescent="0.25">
      <c r="A52">
        <v>2017</v>
      </c>
      <c r="B52" t="s">
        <v>15</v>
      </c>
      <c r="C52" t="s">
        <v>11</v>
      </c>
      <c r="D52" s="2">
        <v>69.348160000000007</v>
      </c>
      <c r="E52" s="2">
        <v>68.468400000000003</v>
      </c>
      <c r="F52" s="2">
        <v>68.945030000000003</v>
      </c>
    </row>
    <row r="53" spans="1:6" x14ac:dyDescent="0.25">
      <c r="A53">
        <v>2017</v>
      </c>
      <c r="B53" t="s">
        <v>16</v>
      </c>
      <c r="C53" t="s">
        <v>11</v>
      </c>
      <c r="D53" s="2">
        <v>69.400379999999998</v>
      </c>
      <c r="E53" s="2">
        <v>68.681200000000004</v>
      </c>
      <c r="F53" s="2">
        <v>69.050369999999987</v>
      </c>
    </row>
    <row r="54" spans="1:6" x14ac:dyDescent="0.25">
      <c r="A54">
        <v>2017</v>
      </c>
      <c r="B54" t="s">
        <v>17</v>
      </c>
      <c r="C54" t="s">
        <v>11</v>
      </c>
      <c r="D54" s="2">
        <v>69.609260000000006</v>
      </c>
      <c r="E54" s="2">
        <v>68.787600000000012</v>
      </c>
      <c r="F54" s="2">
        <v>69.208379999999991</v>
      </c>
    </row>
    <row r="55" spans="1:6" x14ac:dyDescent="0.25">
      <c r="A55">
        <v>2017</v>
      </c>
      <c r="B55" t="s">
        <v>18</v>
      </c>
      <c r="C55" t="s">
        <v>11</v>
      </c>
      <c r="D55" s="2">
        <v>69.922579999999996</v>
      </c>
      <c r="E55" s="2">
        <v>69.106800000000007</v>
      </c>
      <c r="F55" s="2">
        <v>69.524399999999986</v>
      </c>
    </row>
    <row r="56" spans="1:6" x14ac:dyDescent="0.25">
      <c r="A56">
        <v>2017</v>
      </c>
      <c r="B56" t="s">
        <v>19</v>
      </c>
      <c r="C56" t="s">
        <v>11</v>
      </c>
      <c r="D56" s="2">
        <v>71.123639999999995</v>
      </c>
      <c r="E56" s="2">
        <v>70.11760000000001</v>
      </c>
      <c r="F56" s="2">
        <v>70.68313999999998</v>
      </c>
    </row>
    <row r="57" spans="1:6" x14ac:dyDescent="0.25">
      <c r="A57">
        <v>2017</v>
      </c>
      <c r="B57" t="s">
        <v>20</v>
      </c>
      <c r="C57" t="s">
        <v>11</v>
      </c>
      <c r="D57" s="2">
        <v>71.959160000000011</v>
      </c>
      <c r="E57" s="2">
        <v>70.596400000000003</v>
      </c>
      <c r="F57" s="2">
        <v>71.315179999999998</v>
      </c>
    </row>
    <row r="58" spans="1:6" x14ac:dyDescent="0.25">
      <c r="A58">
        <v>2017</v>
      </c>
      <c r="B58" t="s">
        <v>21</v>
      </c>
      <c r="C58" t="s">
        <v>11</v>
      </c>
      <c r="D58" s="2">
        <v>71.85472</v>
      </c>
      <c r="E58" s="2">
        <v>70.436800000000005</v>
      </c>
      <c r="F58" s="2">
        <v>71.209839999999986</v>
      </c>
    </row>
    <row r="59" spans="1:6" x14ac:dyDescent="0.25">
      <c r="A59">
        <v>2017</v>
      </c>
      <c r="B59" t="s">
        <v>22</v>
      </c>
      <c r="C59" t="s">
        <v>11</v>
      </c>
      <c r="D59" s="2">
        <v>72.22026000000001</v>
      </c>
      <c r="E59" s="2">
        <v>71.022000000000006</v>
      </c>
      <c r="F59" s="2">
        <v>71.683869999999985</v>
      </c>
    </row>
    <row r="60" spans="1:6" x14ac:dyDescent="0.25">
      <c r="A60">
        <v>2017</v>
      </c>
      <c r="B60" t="s">
        <v>23</v>
      </c>
      <c r="C60" t="s">
        <v>11</v>
      </c>
      <c r="D60" s="2">
        <v>73.108000000000004</v>
      </c>
      <c r="E60" s="2">
        <v>71.713600000000014</v>
      </c>
      <c r="F60" s="2">
        <v>72.473919999999993</v>
      </c>
    </row>
    <row r="61" spans="1:6" x14ac:dyDescent="0.25">
      <c r="A61">
        <v>2017</v>
      </c>
      <c r="B61" t="s">
        <v>24</v>
      </c>
      <c r="C61" t="s">
        <v>11</v>
      </c>
      <c r="D61" s="2">
        <v>73.003560000000007</v>
      </c>
      <c r="E61" s="2">
        <v>71.341200000000001</v>
      </c>
      <c r="F61" s="2">
        <v>72.263239999999982</v>
      </c>
    </row>
    <row r="62" spans="1:6" x14ac:dyDescent="0.25">
      <c r="A62">
        <v>2018</v>
      </c>
      <c r="B62" t="s">
        <v>10</v>
      </c>
      <c r="C62" t="s">
        <v>11</v>
      </c>
      <c r="D62" s="2">
        <v>72.742460000000008</v>
      </c>
      <c r="E62" s="2">
        <v>71.341200000000001</v>
      </c>
      <c r="F62" s="2">
        <v>72.105229999999992</v>
      </c>
    </row>
    <row r="63" spans="1:6" x14ac:dyDescent="0.25">
      <c r="A63">
        <v>2018</v>
      </c>
      <c r="B63" t="s">
        <v>14</v>
      </c>
      <c r="C63" t="s">
        <v>11</v>
      </c>
      <c r="D63" s="2">
        <v>72.324699999999993</v>
      </c>
      <c r="E63" s="2">
        <v>71.288000000000011</v>
      </c>
      <c r="F63" s="2">
        <v>71.841879999999989</v>
      </c>
    </row>
    <row r="64" spans="1:6" x14ac:dyDescent="0.25">
      <c r="A64">
        <v>2018</v>
      </c>
      <c r="B64" t="s">
        <v>15</v>
      </c>
      <c r="C64" t="s">
        <v>11</v>
      </c>
      <c r="D64" s="2">
        <v>72.42913999999999</v>
      </c>
      <c r="E64" s="2">
        <v>71.288000000000011</v>
      </c>
      <c r="F64" s="2">
        <v>71.894549999999995</v>
      </c>
    </row>
    <row r="65" spans="1:6" x14ac:dyDescent="0.25">
      <c r="A65">
        <v>2018</v>
      </c>
      <c r="B65" t="s">
        <v>16</v>
      </c>
      <c r="C65" t="s">
        <v>11</v>
      </c>
      <c r="D65" s="2">
        <v>72.638019999999997</v>
      </c>
      <c r="E65" s="2">
        <v>71.713600000000014</v>
      </c>
      <c r="F65" s="2">
        <v>72.21056999999999</v>
      </c>
    </row>
    <row r="66" spans="1:6" x14ac:dyDescent="0.25">
      <c r="A66">
        <v>2018</v>
      </c>
      <c r="B66" t="s">
        <v>17</v>
      </c>
      <c r="C66" t="s">
        <v>11</v>
      </c>
      <c r="D66" s="2">
        <v>73.003560000000007</v>
      </c>
      <c r="E66" s="2">
        <v>72.032800000000009</v>
      </c>
      <c r="F66" s="2">
        <v>72.579260000000005</v>
      </c>
    </row>
    <row r="67" spans="1:6" x14ac:dyDescent="0.25">
      <c r="A67">
        <v>2018</v>
      </c>
      <c r="B67" t="s">
        <v>18</v>
      </c>
      <c r="C67" t="s">
        <v>11</v>
      </c>
      <c r="D67" s="2">
        <v>73.369100000000003</v>
      </c>
      <c r="E67" s="2">
        <v>72.458399999999997</v>
      </c>
      <c r="F67" s="2">
        <v>72.947949999999992</v>
      </c>
    </row>
    <row r="68" spans="1:6" x14ac:dyDescent="0.25">
      <c r="A68">
        <v>2018</v>
      </c>
      <c r="B68" t="s">
        <v>19</v>
      </c>
      <c r="C68" t="s">
        <v>11</v>
      </c>
      <c r="D68" s="2">
        <v>74.047960000000003</v>
      </c>
      <c r="E68" s="2">
        <v>73.150000000000006</v>
      </c>
      <c r="F68" s="2">
        <v>73.632660000000001</v>
      </c>
    </row>
    <row r="69" spans="1:6" x14ac:dyDescent="0.25">
      <c r="A69">
        <v>2018</v>
      </c>
      <c r="B69" t="s">
        <v>20</v>
      </c>
      <c r="C69" t="s">
        <v>11</v>
      </c>
      <c r="D69" s="2">
        <v>74.413499999999999</v>
      </c>
      <c r="E69" s="2">
        <v>73.415999999999997</v>
      </c>
      <c r="F69" s="2">
        <v>73.948679999999996</v>
      </c>
    </row>
    <row r="70" spans="1:6" x14ac:dyDescent="0.25">
      <c r="A70">
        <v>2018</v>
      </c>
      <c r="B70" t="s">
        <v>21</v>
      </c>
      <c r="C70" t="s">
        <v>11</v>
      </c>
      <c r="D70" s="2">
        <v>74.204619999999991</v>
      </c>
      <c r="E70" s="2">
        <v>73.469200000000001</v>
      </c>
      <c r="F70" s="2">
        <v>73.843339999999984</v>
      </c>
    </row>
    <row r="71" spans="1:6" x14ac:dyDescent="0.25">
      <c r="A71">
        <v>2018</v>
      </c>
      <c r="B71" t="s">
        <v>22</v>
      </c>
      <c r="C71" t="s">
        <v>11</v>
      </c>
      <c r="D71" s="2">
        <v>74.256839999999997</v>
      </c>
      <c r="E71" s="2">
        <v>73.894800000000004</v>
      </c>
      <c r="F71" s="2">
        <v>74.106689999999986</v>
      </c>
    </row>
    <row r="72" spans="1:6" x14ac:dyDescent="0.25">
      <c r="A72">
        <v>2018</v>
      </c>
      <c r="B72" t="s">
        <v>23</v>
      </c>
      <c r="C72" t="s">
        <v>11</v>
      </c>
      <c r="D72" s="2">
        <v>74.361280000000008</v>
      </c>
      <c r="E72" s="2">
        <v>73.948000000000008</v>
      </c>
      <c r="F72" s="2">
        <v>74.159359999999992</v>
      </c>
    </row>
    <row r="73" spans="1:6" x14ac:dyDescent="0.25">
      <c r="A73">
        <v>2018</v>
      </c>
      <c r="B73" t="s">
        <v>24</v>
      </c>
      <c r="C73" t="s">
        <v>11</v>
      </c>
      <c r="D73" s="2">
        <v>74.100180000000009</v>
      </c>
      <c r="E73" s="2">
        <v>73.415999999999997</v>
      </c>
      <c r="F73" s="2">
        <v>73.790669999999992</v>
      </c>
    </row>
    <row r="74" spans="1:6" x14ac:dyDescent="0.25">
      <c r="A74">
        <v>2019</v>
      </c>
      <c r="B74" t="s">
        <v>10</v>
      </c>
      <c r="C74" t="s">
        <v>11</v>
      </c>
      <c r="D74" s="2">
        <v>73.630200000000002</v>
      </c>
      <c r="E74" s="2">
        <v>73.415999999999997</v>
      </c>
      <c r="F74" s="2">
        <v>73.527319999999989</v>
      </c>
    </row>
    <row r="75" spans="1:6" x14ac:dyDescent="0.25">
      <c r="A75">
        <v>2019</v>
      </c>
      <c r="B75" t="s">
        <v>14</v>
      </c>
      <c r="C75" t="s">
        <v>11</v>
      </c>
      <c r="D75" s="2">
        <v>73.630200000000002</v>
      </c>
      <c r="E75" s="2">
        <v>73.735200000000006</v>
      </c>
      <c r="F75" s="2">
        <v>73.685329999999993</v>
      </c>
    </row>
    <row r="76" spans="1:6" x14ac:dyDescent="0.25">
      <c r="A76">
        <v>2019</v>
      </c>
      <c r="B76" t="s">
        <v>15</v>
      </c>
      <c r="C76" t="s">
        <v>11</v>
      </c>
      <c r="D76" s="2">
        <v>73.734639999999999</v>
      </c>
      <c r="E76" s="2">
        <v>74.213999999999999</v>
      </c>
      <c r="F76" s="2">
        <v>73.948679999999996</v>
      </c>
    </row>
    <row r="77" spans="1:6" x14ac:dyDescent="0.25">
      <c r="A77">
        <v>2019</v>
      </c>
      <c r="B77" t="s">
        <v>16</v>
      </c>
      <c r="C77" t="s">
        <v>11</v>
      </c>
      <c r="D77" s="2">
        <v>73.995739999999998</v>
      </c>
      <c r="E77" s="2">
        <v>74.799199999999999</v>
      </c>
      <c r="F77" s="2">
        <v>74.370039999999989</v>
      </c>
    </row>
    <row r="78" spans="1:6" x14ac:dyDescent="0.25">
      <c r="A78">
        <v>2019</v>
      </c>
      <c r="B78" t="s">
        <v>17</v>
      </c>
      <c r="C78" t="s">
        <v>11</v>
      </c>
      <c r="D78" s="2">
        <v>74.361280000000008</v>
      </c>
      <c r="E78" s="2">
        <v>75.278000000000006</v>
      </c>
      <c r="F78" s="2">
        <v>74.791399999999996</v>
      </c>
    </row>
    <row r="79" spans="1:6" x14ac:dyDescent="0.25">
      <c r="A79">
        <v>2019</v>
      </c>
      <c r="B79" t="s">
        <v>18</v>
      </c>
      <c r="C79" t="s">
        <v>11</v>
      </c>
      <c r="D79" s="2">
        <v>74.987920000000003</v>
      </c>
      <c r="E79" s="2">
        <v>75.597200000000001</v>
      </c>
      <c r="F79" s="2">
        <v>75.265429999999995</v>
      </c>
    </row>
    <row r="80" spans="1:6" x14ac:dyDescent="0.25">
      <c r="A80">
        <v>2019</v>
      </c>
      <c r="B80" t="s">
        <v>19</v>
      </c>
      <c r="C80" t="s">
        <v>11</v>
      </c>
      <c r="D80" s="2">
        <v>75.666780000000003</v>
      </c>
      <c r="E80" s="2">
        <v>76.235600000000005</v>
      </c>
      <c r="F80" s="2">
        <v>75.95013999999999</v>
      </c>
    </row>
    <row r="81" spans="1:6" x14ac:dyDescent="0.25">
      <c r="A81">
        <v>2019</v>
      </c>
      <c r="B81" t="s">
        <v>20</v>
      </c>
      <c r="C81" t="s">
        <v>11</v>
      </c>
      <c r="D81" s="2">
        <v>76.08453999999999</v>
      </c>
      <c r="E81" s="2">
        <v>76.714399999999998</v>
      </c>
      <c r="F81" s="2">
        <v>76.371499999999997</v>
      </c>
    </row>
    <row r="82" spans="1:6" x14ac:dyDescent="0.25">
      <c r="A82">
        <v>2019</v>
      </c>
      <c r="B82" t="s">
        <v>21</v>
      </c>
      <c r="C82" t="s">
        <v>11</v>
      </c>
      <c r="D82" s="2">
        <v>76.606739999999988</v>
      </c>
      <c r="E82" s="2">
        <v>76.980400000000003</v>
      </c>
      <c r="F82" s="2">
        <v>76.792860000000005</v>
      </c>
    </row>
    <row r="83" spans="1:6" x14ac:dyDescent="0.25">
      <c r="A83">
        <v>2019</v>
      </c>
      <c r="B83" t="s">
        <v>22</v>
      </c>
      <c r="C83" t="s">
        <v>11</v>
      </c>
      <c r="D83" s="2">
        <v>77.442260000000005</v>
      </c>
      <c r="E83" s="2">
        <v>77.671999999999997</v>
      </c>
      <c r="F83" s="2">
        <v>77.530239999999992</v>
      </c>
    </row>
    <row r="84" spans="1:6" x14ac:dyDescent="0.25">
      <c r="A84">
        <v>2019</v>
      </c>
      <c r="B84" t="s">
        <v>23</v>
      </c>
      <c r="C84" t="s">
        <v>11</v>
      </c>
      <c r="D84" s="2">
        <v>78.277780000000007</v>
      </c>
      <c r="E84" s="2">
        <v>78.204000000000008</v>
      </c>
      <c r="F84" s="2">
        <v>78.267619999999994</v>
      </c>
    </row>
    <row r="85" spans="1:6" x14ac:dyDescent="0.25">
      <c r="A85">
        <v>2019</v>
      </c>
      <c r="B85" t="s">
        <v>24</v>
      </c>
      <c r="C85" t="s">
        <v>11</v>
      </c>
      <c r="D85" s="2">
        <v>79.531060000000011</v>
      </c>
      <c r="E85" s="2">
        <v>78.895600000000016</v>
      </c>
      <c r="F85" s="2">
        <v>79.215679999999992</v>
      </c>
    </row>
    <row r="86" spans="1:6" x14ac:dyDescent="0.25">
      <c r="A86">
        <v>2020</v>
      </c>
      <c r="B86" t="s">
        <v>10</v>
      </c>
      <c r="C86" t="s">
        <v>11</v>
      </c>
      <c r="D86" s="2">
        <v>79.322180000000003</v>
      </c>
      <c r="E86" s="2">
        <v>78.842399999999998</v>
      </c>
      <c r="F86" s="2">
        <v>79.110339999999979</v>
      </c>
    </row>
    <row r="87" spans="1:6" x14ac:dyDescent="0.25">
      <c r="A87">
        <v>2020</v>
      </c>
      <c r="B87" t="s">
        <v>14</v>
      </c>
      <c r="C87" t="s">
        <v>11</v>
      </c>
      <c r="D87" s="2">
        <v>78.538880000000006</v>
      </c>
      <c r="E87" s="2">
        <v>78.576399999999992</v>
      </c>
      <c r="F87" s="2">
        <v>78.530969999999982</v>
      </c>
    </row>
    <row r="88" spans="1:6" x14ac:dyDescent="0.25">
      <c r="A88">
        <v>2020</v>
      </c>
      <c r="B88" t="s">
        <v>15</v>
      </c>
      <c r="C88" t="s">
        <v>11</v>
      </c>
      <c r="D88" s="2">
        <v>78.225560000000002</v>
      </c>
      <c r="E88" s="2">
        <v>78.363600000000005</v>
      </c>
      <c r="F88" s="2">
        <v>78.267619999999994</v>
      </c>
    </row>
    <row r="89" spans="1:6" x14ac:dyDescent="0.25">
      <c r="A89">
        <v>2020</v>
      </c>
      <c r="B89" t="s">
        <v>16</v>
      </c>
      <c r="C89" t="s">
        <v>11</v>
      </c>
      <c r="D89" s="2">
        <v>79.322180000000003</v>
      </c>
      <c r="E89" s="2">
        <v>80.278800000000004</v>
      </c>
      <c r="F89" s="2">
        <v>79.742379999999997</v>
      </c>
    </row>
    <row r="90" spans="1:6" x14ac:dyDescent="0.25">
      <c r="A90">
        <v>2020</v>
      </c>
      <c r="B90" t="s">
        <v>17</v>
      </c>
      <c r="C90" t="s">
        <v>11</v>
      </c>
      <c r="D90" s="2">
        <v>78.956639999999993</v>
      </c>
      <c r="E90" s="2">
        <v>80.119200000000006</v>
      </c>
      <c r="F90" s="2">
        <v>79.479029999999995</v>
      </c>
    </row>
    <row r="91" spans="1:6" x14ac:dyDescent="0.25">
      <c r="A91">
        <v>2020</v>
      </c>
      <c r="B91" t="s">
        <v>18</v>
      </c>
      <c r="C91" t="s">
        <v>11</v>
      </c>
      <c r="D91" s="2">
        <v>79.73993999999999</v>
      </c>
      <c r="E91" s="2">
        <v>80.225600000000014</v>
      </c>
      <c r="F91" s="2">
        <v>79.953059999999994</v>
      </c>
    </row>
    <row r="92" spans="1:6" x14ac:dyDescent="0.25">
      <c r="A92">
        <v>2020</v>
      </c>
      <c r="B92" t="s">
        <v>19</v>
      </c>
      <c r="C92" t="s">
        <v>11</v>
      </c>
      <c r="D92" s="2">
        <v>80.78434</v>
      </c>
      <c r="E92" s="2">
        <v>81.342800000000011</v>
      </c>
      <c r="F92" s="2">
        <v>81.059129999999996</v>
      </c>
    </row>
    <row r="93" spans="1:6" x14ac:dyDescent="0.25">
      <c r="A93">
        <v>2020</v>
      </c>
      <c r="B93" t="s">
        <v>20</v>
      </c>
      <c r="C93" t="s">
        <v>11</v>
      </c>
      <c r="D93" s="2">
        <v>81.149879999999996</v>
      </c>
      <c r="E93" s="2">
        <v>81.927999999999997</v>
      </c>
      <c r="F93" s="2">
        <v>81.480489999999989</v>
      </c>
    </row>
    <row r="94" spans="1:6" x14ac:dyDescent="0.25">
      <c r="A94">
        <v>2020</v>
      </c>
      <c r="B94" t="s">
        <v>21</v>
      </c>
      <c r="C94" t="s">
        <v>11</v>
      </c>
      <c r="D94" s="2">
        <v>82.246499999999997</v>
      </c>
      <c r="E94" s="2">
        <v>82.566400000000002</v>
      </c>
      <c r="F94" s="2">
        <v>82.375879999999995</v>
      </c>
    </row>
    <row r="95" spans="1:6" x14ac:dyDescent="0.25">
      <c r="A95">
        <v>2020</v>
      </c>
      <c r="B95" t="s">
        <v>22</v>
      </c>
      <c r="C95" t="s">
        <v>11</v>
      </c>
      <c r="D95" s="2">
        <v>83.44756000000001</v>
      </c>
      <c r="E95" s="2">
        <v>83.364400000000003</v>
      </c>
      <c r="F95" s="2">
        <v>83.429279999999991</v>
      </c>
    </row>
    <row r="96" spans="1:6" x14ac:dyDescent="0.25">
      <c r="A96">
        <v>2020</v>
      </c>
      <c r="B96" t="s">
        <v>23</v>
      </c>
      <c r="C96" t="s">
        <v>11</v>
      </c>
      <c r="D96" s="2">
        <v>83.917539999999988</v>
      </c>
      <c r="E96" s="2">
        <v>83.470800000000011</v>
      </c>
      <c r="F96" s="2">
        <v>83.692629999999994</v>
      </c>
    </row>
    <row r="97" spans="1:6" x14ac:dyDescent="0.25">
      <c r="A97">
        <v>2020</v>
      </c>
      <c r="B97" t="s">
        <v>24</v>
      </c>
      <c r="C97" t="s">
        <v>11</v>
      </c>
      <c r="D97" s="2">
        <v>82.768699999999995</v>
      </c>
      <c r="E97" s="2">
        <v>82.992000000000004</v>
      </c>
      <c r="F97" s="2">
        <v>82.849909999999994</v>
      </c>
    </row>
    <row r="98" spans="1:6" x14ac:dyDescent="0.25">
      <c r="A98">
        <v>2021</v>
      </c>
      <c r="B98" t="s">
        <v>10</v>
      </c>
      <c r="C98" t="s">
        <v>11</v>
      </c>
      <c r="D98" s="2">
        <v>81.880960000000002</v>
      </c>
      <c r="E98" s="2">
        <v>82.885600000000011</v>
      </c>
      <c r="F98" s="2">
        <v>82.323210000000003</v>
      </c>
    </row>
    <row r="99" spans="1:6" x14ac:dyDescent="0.25">
      <c r="A99">
        <v>2021</v>
      </c>
      <c r="B99" t="s">
        <v>14</v>
      </c>
      <c r="C99" t="s">
        <v>11</v>
      </c>
      <c r="D99" s="2">
        <v>81.828739999999996</v>
      </c>
      <c r="E99" s="2">
        <v>83.25800000000001</v>
      </c>
      <c r="F99" s="2">
        <v>82.481219999999993</v>
      </c>
    </row>
    <row r="100" spans="1:6" x14ac:dyDescent="0.25">
      <c r="A100">
        <v>2021</v>
      </c>
      <c r="B100" t="s">
        <v>15</v>
      </c>
      <c r="C100" t="s">
        <v>11</v>
      </c>
      <c r="D100" s="2">
        <v>81.828739999999996</v>
      </c>
      <c r="E100" s="2">
        <v>83.470800000000011</v>
      </c>
      <c r="F100" s="2">
        <v>82.586559999999992</v>
      </c>
    </row>
    <row r="101" spans="1:6" x14ac:dyDescent="0.25">
      <c r="A101">
        <v>2021</v>
      </c>
      <c r="B101" t="s">
        <v>16</v>
      </c>
      <c r="C101" t="s">
        <v>11</v>
      </c>
      <c r="D101" s="2">
        <v>82.298720000000003</v>
      </c>
      <c r="E101" s="2">
        <v>84.056000000000012</v>
      </c>
      <c r="F101" s="2">
        <v>83.113259999999997</v>
      </c>
    </row>
    <row r="102" spans="1:6" x14ac:dyDescent="0.25">
      <c r="A102">
        <v>2021</v>
      </c>
      <c r="B102" t="s">
        <v>17</v>
      </c>
      <c r="C102" t="s">
        <v>11</v>
      </c>
      <c r="D102" s="2">
        <v>84.126419999999996</v>
      </c>
      <c r="E102" s="2">
        <v>84.853999999999999</v>
      </c>
      <c r="F102" s="2">
        <v>84.482679999999988</v>
      </c>
    </row>
    <row r="103" spans="1:6" x14ac:dyDescent="0.25">
      <c r="A103">
        <v>2021</v>
      </c>
      <c r="B103" t="s">
        <v>18</v>
      </c>
      <c r="C103" t="s">
        <v>11</v>
      </c>
      <c r="D103" s="2">
        <v>84.648619999999994</v>
      </c>
      <c r="E103" s="2">
        <v>85.332800000000006</v>
      </c>
      <c r="F103" s="2">
        <v>84.956710000000001</v>
      </c>
    </row>
    <row r="104" spans="1:6" x14ac:dyDescent="0.25">
      <c r="A104">
        <v>2021</v>
      </c>
      <c r="B104" t="s">
        <v>19</v>
      </c>
      <c r="C104" t="s">
        <v>11</v>
      </c>
      <c r="D104" s="2">
        <v>85.223039999999997</v>
      </c>
      <c r="E104" s="2">
        <v>86.077600000000004</v>
      </c>
      <c r="F104" s="2">
        <v>85.58874999999999</v>
      </c>
    </row>
    <row r="105" spans="1:6" x14ac:dyDescent="0.25">
      <c r="A105">
        <v>2021</v>
      </c>
      <c r="B105" t="s">
        <v>20</v>
      </c>
      <c r="C105" t="s">
        <v>11</v>
      </c>
      <c r="D105" s="2">
        <v>85.431919999999991</v>
      </c>
      <c r="E105" s="2">
        <v>86.290400000000005</v>
      </c>
      <c r="F105" s="2">
        <v>85.799430000000001</v>
      </c>
    </row>
    <row r="106" spans="1:6" x14ac:dyDescent="0.25">
      <c r="A106">
        <v>2021</v>
      </c>
      <c r="B106" t="s">
        <v>21</v>
      </c>
      <c r="C106" t="s">
        <v>11</v>
      </c>
      <c r="D106" s="2">
        <v>85.640799999999999</v>
      </c>
      <c r="E106" s="2">
        <v>86.343600000000009</v>
      </c>
      <c r="F106" s="2">
        <v>85.957439999999991</v>
      </c>
    </row>
    <row r="107" spans="1:6" x14ac:dyDescent="0.25">
      <c r="A107">
        <v>2021</v>
      </c>
      <c r="B107" t="s">
        <v>22</v>
      </c>
      <c r="C107" t="s">
        <v>11</v>
      </c>
      <c r="D107" s="2">
        <v>86.841860000000011</v>
      </c>
      <c r="E107" s="2">
        <v>87.5672</v>
      </c>
      <c r="F107" s="2">
        <v>87.168849999999992</v>
      </c>
    </row>
    <row r="108" spans="1:6" x14ac:dyDescent="0.25">
      <c r="A108">
        <v>2021</v>
      </c>
      <c r="B108" t="s">
        <v>23</v>
      </c>
      <c r="C108" t="s">
        <v>11</v>
      </c>
      <c r="D108" s="2">
        <v>87.520719999999997</v>
      </c>
      <c r="E108" s="2">
        <v>88.099199999999996</v>
      </c>
      <c r="F108" s="2">
        <v>87.800889999999981</v>
      </c>
    </row>
    <row r="109" spans="1:6" x14ac:dyDescent="0.25">
      <c r="A109">
        <v>2021</v>
      </c>
      <c r="B109" t="s">
        <v>24</v>
      </c>
      <c r="C109" t="s">
        <v>11</v>
      </c>
      <c r="D109" s="2">
        <v>87.207399999999993</v>
      </c>
      <c r="E109" s="2">
        <v>87.886399999999995</v>
      </c>
      <c r="F109" s="2">
        <v>87.537539999999979</v>
      </c>
    </row>
    <row r="110" spans="1:6" x14ac:dyDescent="0.25">
      <c r="A110">
        <v>2022</v>
      </c>
      <c r="B110" t="s">
        <v>10</v>
      </c>
      <c r="C110" t="s">
        <v>11</v>
      </c>
      <c r="D110" s="2">
        <v>86.894080000000002</v>
      </c>
      <c r="E110" s="2">
        <v>87.78</v>
      </c>
      <c r="F110" s="2">
        <v>87.27418999999999</v>
      </c>
    </row>
    <row r="111" spans="1:6" x14ac:dyDescent="0.25">
      <c r="A111">
        <v>2022</v>
      </c>
      <c r="B111" t="s">
        <v>14</v>
      </c>
      <c r="C111" t="s">
        <v>11</v>
      </c>
      <c r="D111" s="2">
        <v>87.05073999999999</v>
      </c>
      <c r="E111" s="2">
        <v>88.046000000000006</v>
      </c>
      <c r="F111" s="2">
        <v>87.484869999999987</v>
      </c>
    </row>
    <row r="112" spans="1:6" x14ac:dyDescent="0.25">
      <c r="A112">
        <v>2022</v>
      </c>
      <c r="B112" t="s">
        <v>15</v>
      </c>
      <c r="C112" t="s">
        <v>11</v>
      </c>
      <c r="D112" s="2">
        <v>88.095140000000001</v>
      </c>
      <c r="E112" s="2">
        <v>88.578000000000003</v>
      </c>
      <c r="F112" s="2">
        <v>88.327589999999987</v>
      </c>
    </row>
    <row r="113" spans="1:6" x14ac:dyDescent="0.25">
      <c r="A113">
        <v>2022</v>
      </c>
      <c r="B113" t="s">
        <v>16</v>
      </c>
      <c r="C113" t="s">
        <v>11</v>
      </c>
      <c r="D113" s="2">
        <v>89.191760000000002</v>
      </c>
      <c r="E113" s="2">
        <v>90.014399999999995</v>
      </c>
      <c r="F113" s="2">
        <v>89.591669999999993</v>
      </c>
    </row>
    <row r="114" spans="1:6" x14ac:dyDescent="0.25">
      <c r="A114">
        <v>2022</v>
      </c>
      <c r="B114" t="s">
        <v>17</v>
      </c>
      <c r="C114" t="s">
        <v>11</v>
      </c>
      <c r="D114" s="2">
        <v>90.079499999999996</v>
      </c>
      <c r="E114" s="2">
        <v>90.865600000000015</v>
      </c>
      <c r="F114" s="2">
        <v>90.434389999999979</v>
      </c>
    </row>
    <row r="115" spans="1:6" x14ac:dyDescent="0.25">
      <c r="A115">
        <v>2022</v>
      </c>
      <c r="B115" t="s">
        <v>18</v>
      </c>
      <c r="C115" t="s">
        <v>11</v>
      </c>
      <c r="D115" s="2">
        <v>90.653919999999999</v>
      </c>
      <c r="E115" s="2">
        <v>91.18480000000001</v>
      </c>
      <c r="F115" s="2">
        <v>90.908419999999992</v>
      </c>
    </row>
    <row r="116" spans="1:6" x14ac:dyDescent="0.25">
      <c r="A116">
        <v>2022</v>
      </c>
      <c r="B116" t="s">
        <v>19</v>
      </c>
      <c r="C116" t="s">
        <v>11</v>
      </c>
      <c r="D116" s="2">
        <v>91.019460000000009</v>
      </c>
      <c r="E116" s="2">
        <v>91.663600000000017</v>
      </c>
      <c r="F116" s="2">
        <v>91.32978</v>
      </c>
    </row>
    <row r="117" spans="1:6" x14ac:dyDescent="0.25">
      <c r="A117">
        <v>2022</v>
      </c>
      <c r="B117" t="s">
        <v>20</v>
      </c>
      <c r="C117" t="s">
        <v>11</v>
      </c>
      <c r="D117" s="2">
        <v>91.541660000000007</v>
      </c>
      <c r="E117" s="2">
        <v>92.089200000000005</v>
      </c>
      <c r="F117" s="2">
        <v>91.803809999999999</v>
      </c>
    </row>
    <row r="118" spans="1:6" x14ac:dyDescent="0.25">
      <c r="A118">
        <v>2022</v>
      </c>
      <c r="B118" t="s">
        <v>21</v>
      </c>
      <c r="C118" t="s">
        <v>11</v>
      </c>
      <c r="D118" s="2">
        <v>92.116079999999997</v>
      </c>
      <c r="E118" s="2">
        <v>92.621200000000002</v>
      </c>
      <c r="F118" s="2">
        <v>92.33050999999999</v>
      </c>
    </row>
    <row r="119" spans="1:6" x14ac:dyDescent="0.25">
      <c r="A119">
        <v>2022</v>
      </c>
      <c r="B119" t="s">
        <v>22</v>
      </c>
      <c r="C119" t="s">
        <v>11</v>
      </c>
      <c r="D119" s="2">
        <v>92.899380000000008</v>
      </c>
      <c r="E119" s="2">
        <v>93.259600000000006</v>
      </c>
      <c r="F119" s="2">
        <v>93.067889999999991</v>
      </c>
    </row>
    <row r="120" spans="1:6" x14ac:dyDescent="0.25">
      <c r="A120">
        <v>2022</v>
      </c>
      <c r="B120" t="s">
        <v>23</v>
      </c>
      <c r="C120" t="s">
        <v>11</v>
      </c>
      <c r="D120" s="2">
        <v>92.847160000000002</v>
      </c>
      <c r="E120" s="2">
        <v>93.100000000000009</v>
      </c>
      <c r="F120" s="2">
        <v>92.962549999999993</v>
      </c>
    </row>
    <row r="121" spans="1:6" x14ac:dyDescent="0.25">
      <c r="A121">
        <v>2022</v>
      </c>
      <c r="B121" t="s">
        <v>24</v>
      </c>
      <c r="C121" t="s">
        <v>11</v>
      </c>
      <c r="D121" s="2">
        <v>92.481619999999992</v>
      </c>
      <c r="E121" s="2">
        <v>92.621200000000002</v>
      </c>
      <c r="F121" s="2">
        <v>92.541189999999986</v>
      </c>
    </row>
    <row r="122" spans="1:6" x14ac:dyDescent="0.25">
      <c r="A122">
        <v>2023</v>
      </c>
      <c r="B122" t="s">
        <v>10</v>
      </c>
      <c r="C122" t="s">
        <v>11</v>
      </c>
      <c r="D122" s="2">
        <v>92.847160000000002</v>
      </c>
      <c r="E122" s="2">
        <v>93.046800000000005</v>
      </c>
      <c r="F122" s="2">
        <v>92.962549999999993</v>
      </c>
    </row>
    <row r="123" spans="1:6" x14ac:dyDescent="0.25">
      <c r="A123">
        <v>2023</v>
      </c>
      <c r="B123" t="s">
        <v>14</v>
      </c>
      <c r="C123" t="s">
        <v>11</v>
      </c>
      <c r="D123" s="2">
        <v>92.899380000000008</v>
      </c>
      <c r="E123" s="2">
        <v>93.419200000000004</v>
      </c>
      <c r="F123" s="2">
        <v>93.120559999999998</v>
      </c>
    </row>
    <row r="124" spans="1:6" x14ac:dyDescent="0.25">
      <c r="A124">
        <v>2023</v>
      </c>
      <c r="B124" t="s">
        <v>15</v>
      </c>
      <c r="C124" t="s">
        <v>11</v>
      </c>
      <c r="D124" s="2">
        <v>92.951599999999999</v>
      </c>
      <c r="E124" s="2">
        <v>93.791600000000017</v>
      </c>
      <c r="F124" s="2">
        <v>93.33123999999998</v>
      </c>
    </row>
    <row r="125" spans="1:6" x14ac:dyDescent="0.25">
      <c r="A125">
        <v>2023</v>
      </c>
      <c r="B125" t="s">
        <v>16</v>
      </c>
      <c r="C125" t="s">
        <v>11</v>
      </c>
      <c r="D125" s="2">
        <v>93.36936</v>
      </c>
      <c r="E125" s="2">
        <v>94.376800000000003</v>
      </c>
      <c r="F125" s="2">
        <v>93.805269999999993</v>
      </c>
    </row>
    <row r="126" spans="1:6" x14ac:dyDescent="0.25">
      <c r="A126">
        <v>2023</v>
      </c>
      <c r="B126" t="s">
        <v>17</v>
      </c>
      <c r="C126" t="s">
        <v>11</v>
      </c>
      <c r="D126" s="2">
        <v>93.891560000000013</v>
      </c>
      <c r="E126" s="2">
        <v>94.802400000000006</v>
      </c>
      <c r="F126" s="2">
        <v>94.331969999999984</v>
      </c>
    </row>
    <row r="127" spans="1:6" x14ac:dyDescent="0.25">
      <c r="A127">
        <v>2023</v>
      </c>
      <c r="B127" t="s">
        <v>18</v>
      </c>
      <c r="C127" t="s">
        <v>11</v>
      </c>
      <c r="D127" s="2">
        <v>94.98818</v>
      </c>
      <c r="E127" s="2">
        <v>95.706800000000001</v>
      </c>
      <c r="F127" s="2">
        <v>95.332699999999988</v>
      </c>
    </row>
    <row r="128" spans="1:6" x14ac:dyDescent="0.25">
      <c r="A128">
        <v>2023</v>
      </c>
      <c r="B128" t="s">
        <v>19</v>
      </c>
      <c r="C128" t="s">
        <v>11</v>
      </c>
      <c r="D128" s="2">
        <v>97.96472</v>
      </c>
      <c r="E128" s="2">
        <v>98.260400000000004</v>
      </c>
      <c r="F128" s="2">
        <v>98.124209999999991</v>
      </c>
    </row>
    <row r="129" spans="1:6" x14ac:dyDescent="0.25">
      <c r="A129">
        <v>2023</v>
      </c>
      <c r="B129" t="s">
        <v>20</v>
      </c>
      <c r="C129" t="s">
        <v>11</v>
      </c>
      <c r="D129" s="2">
        <v>97.96472</v>
      </c>
      <c r="E129" s="2">
        <v>98.154000000000011</v>
      </c>
      <c r="F129" s="2">
        <v>98.071539999999985</v>
      </c>
    </row>
    <row r="130" spans="1:6" x14ac:dyDescent="0.25">
      <c r="A130">
        <v>2023</v>
      </c>
      <c r="B130" t="s">
        <v>21</v>
      </c>
      <c r="C130" t="s">
        <v>11</v>
      </c>
      <c r="D130" s="2">
        <v>97.024760000000001</v>
      </c>
      <c r="E130" s="2">
        <v>96.930400000000006</v>
      </c>
      <c r="F130" s="2">
        <v>96.965469999999982</v>
      </c>
    </row>
    <row r="131" spans="1:6" x14ac:dyDescent="0.25">
      <c r="A131">
        <v>2023</v>
      </c>
      <c r="B131" t="s">
        <v>22</v>
      </c>
      <c r="C131" t="s">
        <v>11</v>
      </c>
      <c r="D131" s="2">
        <v>97.651399999999995</v>
      </c>
      <c r="E131" s="2">
        <v>97.56880000000001</v>
      </c>
      <c r="F131" s="2">
        <v>97.59751</v>
      </c>
    </row>
    <row r="132" spans="1:6" x14ac:dyDescent="0.25">
      <c r="A132">
        <v>2023</v>
      </c>
      <c r="B132" t="s">
        <v>23</v>
      </c>
      <c r="C132" t="s">
        <v>11</v>
      </c>
      <c r="D132" s="2">
        <v>98.27803999999999</v>
      </c>
      <c r="E132" s="2">
        <v>97.994399999999999</v>
      </c>
      <c r="F132" s="2">
        <v>98.124209999999991</v>
      </c>
    </row>
    <row r="133" spans="1:6" x14ac:dyDescent="0.25">
      <c r="A133">
        <v>2023</v>
      </c>
      <c r="B133" t="s">
        <v>24</v>
      </c>
      <c r="C133" t="s">
        <v>11</v>
      </c>
      <c r="D133" s="2">
        <v>97.96472</v>
      </c>
      <c r="E133" s="2">
        <v>97.675200000000004</v>
      </c>
      <c r="F133" s="2">
        <v>97.808189999999982</v>
      </c>
    </row>
    <row r="134" spans="1:6" x14ac:dyDescent="0.25">
      <c r="A134">
        <v>2024</v>
      </c>
      <c r="B134" t="s">
        <v>10</v>
      </c>
      <c r="C134" t="s">
        <v>11</v>
      </c>
      <c r="D134" s="2">
        <v>97.808060000000012</v>
      </c>
      <c r="E134" s="2">
        <v>97.622</v>
      </c>
      <c r="F134" s="2">
        <v>97.702849999999984</v>
      </c>
    </row>
    <row r="135" spans="1:6" x14ac:dyDescent="0.25">
      <c r="A135">
        <v>2024</v>
      </c>
      <c r="B135" t="s">
        <v>14</v>
      </c>
      <c r="C135" t="s">
        <v>11</v>
      </c>
      <c r="D135" s="2">
        <v>97.860280000000003</v>
      </c>
      <c r="E135" s="2">
        <v>97.888000000000005</v>
      </c>
      <c r="F135" s="2">
        <v>97.860860000000002</v>
      </c>
    </row>
    <row r="136" spans="1:6" x14ac:dyDescent="0.25">
      <c r="A136">
        <v>2024</v>
      </c>
      <c r="B136" t="s">
        <v>15</v>
      </c>
      <c r="C136" t="s">
        <v>11</v>
      </c>
      <c r="D136" s="2">
        <v>98.069160000000011</v>
      </c>
      <c r="E136" s="2">
        <v>97.675200000000004</v>
      </c>
      <c r="F136" s="2">
        <v>97.860860000000002</v>
      </c>
    </row>
    <row r="137" spans="1:6" x14ac:dyDescent="0.25">
      <c r="A137">
        <v>2024</v>
      </c>
      <c r="B137" t="s">
        <v>16</v>
      </c>
      <c r="C137" t="s">
        <v>11</v>
      </c>
      <c r="D137" s="2">
        <v>98.434700000000007</v>
      </c>
      <c r="E137" s="2">
        <v>98.260400000000004</v>
      </c>
      <c r="F137" s="2">
        <v>98.334889999999987</v>
      </c>
    </row>
    <row r="138" spans="1:6" x14ac:dyDescent="0.25">
      <c r="A138">
        <v>2024</v>
      </c>
      <c r="B138" t="s">
        <v>17</v>
      </c>
      <c r="C138" t="s">
        <v>11</v>
      </c>
      <c r="D138" s="2">
        <v>98.904679999999999</v>
      </c>
      <c r="E138" s="2">
        <v>98.792400000000001</v>
      </c>
      <c r="F138" s="2">
        <v>98.861589999999978</v>
      </c>
    </row>
    <row r="139" spans="1:6" x14ac:dyDescent="0.25">
      <c r="A139">
        <v>2024</v>
      </c>
      <c r="B139" t="s">
        <v>18</v>
      </c>
      <c r="C139" t="s">
        <v>11</v>
      </c>
      <c r="D139" s="2">
        <v>100.36684</v>
      </c>
      <c r="E139" s="2">
        <v>99.909600000000012</v>
      </c>
      <c r="F139" s="2">
        <v>100.17833999999998</v>
      </c>
    </row>
    <row r="140" spans="1:6" x14ac:dyDescent="0.25">
      <c r="A140">
        <v>2024</v>
      </c>
      <c r="B140" t="s">
        <v>19</v>
      </c>
      <c r="C140" t="s">
        <v>11</v>
      </c>
      <c r="D140" s="2">
        <v>101.98566000000001</v>
      </c>
      <c r="E140" s="2">
        <v>101.23960000000001</v>
      </c>
      <c r="F140" s="2">
        <v>101.65309999999999</v>
      </c>
    </row>
    <row r="141" spans="1:6" x14ac:dyDescent="0.25">
      <c r="A141">
        <v>2024</v>
      </c>
      <c r="B141" t="s">
        <v>20</v>
      </c>
      <c r="C141" t="s">
        <v>11</v>
      </c>
      <c r="D141" s="2">
        <v>102.03788</v>
      </c>
      <c r="E141" s="2">
        <v>101.23960000000001</v>
      </c>
      <c r="F141" s="2">
        <v>101.65309999999999</v>
      </c>
    </row>
    <row r="142" spans="1:6" x14ac:dyDescent="0.25">
      <c r="A142">
        <v>2024</v>
      </c>
      <c r="B142" t="s">
        <v>21</v>
      </c>
      <c r="C142" t="s">
        <v>11</v>
      </c>
      <c r="D142" s="2">
        <v>102.71673999999999</v>
      </c>
      <c r="E142" s="2">
        <v>101.82480000000001</v>
      </c>
      <c r="F142" s="2">
        <v>102.28513999999998</v>
      </c>
    </row>
    <row r="143" spans="1:6" x14ac:dyDescent="0.25">
      <c r="A143">
        <v>2024</v>
      </c>
      <c r="B143" t="s">
        <v>22</v>
      </c>
      <c r="C143" t="s">
        <v>11</v>
      </c>
      <c r="D143" s="2">
        <v>104.1789</v>
      </c>
      <c r="E143" s="2">
        <v>103.0484</v>
      </c>
      <c r="F143" s="2">
        <v>103.65455999999999</v>
      </c>
    </row>
    <row r="144" spans="1:6" x14ac:dyDescent="0.25">
      <c r="A144">
        <v>2024</v>
      </c>
      <c r="B144" t="s">
        <v>23</v>
      </c>
      <c r="C144" t="s">
        <v>11</v>
      </c>
      <c r="D144" s="2">
        <v>104.12668000000001</v>
      </c>
      <c r="E144" s="2">
        <v>102.7824</v>
      </c>
      <c r="F144" s="2">
        <v>103.49654999999998</v>
      </c>
    </row>
    <row r="145" spans="1:6" x14ac:dyDescent="0.25">
      <c r="A145">
        <v>2024</v>
      </c>
      <c r="B145" t="s">
        <v>24</v>
      </c>
      <c r="C145" t="s">
        <v>11</v>
      </c>
      <c r="D145" s="2">
        <v>103.60448000000001</v>
      </c>
      <c r="E145" s="2">
        <v>102.14400000000001</v>
      </c>
      <c r="F145" s="2">
        <v>102.91717999999999</v>
      </c>
    </row>
    <row r="146" spans="1:6" x14ac:dyDescent="0.25">
      <c r="A146">
        <v>2025</v>
      </c>
      <c r="B146" t="s">
        <v>10</v>
      </c>
      <c r="C146" t="s">
        <v>11</v>
      </c>
      <c r="D146" s="2">
        <v>102.29898</v>
      </c>
      <c r="E146" s="2">
        <v>101.39920000000001</v>
      </c>
      <c r="F146" s="2">
        <v>101.86377999999999</v>
      </c>
    </row>
    <row r="147" spans="1:6" x14ac:dyDescent="0.25">
      <c r="A147">
        <v>2025</v>
      </c>
      <c r="B147" t="s">
        <v>14</v>
      </c>
      <c r="C147" t="s">
        <v>11</v>
      </c>
      <c r="D147" s="2">
        <v>101.56789999999999</v>
      </c>
      <c r="E147" s="2">
        <v>101.1332</v>
      </c>
      <c r="F147" s="2">
        <v>101.38974999999999</v>
      </c>
    </row>
    <row r="148" spans="1:6" x14ac:dyDescent="0.25">
      <c r="A148">
        <v>2025</v>
      </c>
      <c r="B148" t="s">
        <v>15</v>
      </c>
      <c r="C148" t="s">
        <v>11</v>
      </c>
      <c r="D148" s="2">
        <v>101.25458</v>
      </c>
      <c r="E148" s="2">
        <v>101.02680000000001</v>
      </c>
      <c r="F148" s="2">
        <v>101.12639999999999</v>
      </c>
    </row>
    <row r="149" spans="1:6" x14ac:dyDescent="0.25">
      <c r="A149">
        <v>2025</v>
      </c>
      <c r="B149" t="s">
        <v>16</v>
      </c>
      <c r="C149" t="s">
        <v>11</v>
      </c>
      <c r="D149" s="2">
        <v>101.3068</v>
      </c>
      <c r="E149" s="2">
        <v>101.55880000000001</v>
      </c>
      <c r="F149" s="2">
        <v>101.44241999999998</v>
      </c>
    </row>
    <row r="150" spans="1:6" x14ac:dyDescent="0.25">
      <c r="A150">
        <v>2025</v>
      </c>
      <c r="B150" t="s">
        <v>17</v>
      </c>
      <c r="C150" t="s">
        <v>11</v>
      </c>
      <c r="D150" s="2">
        <v>101.46346000000001</v>
      </c>
      <c r="E150" s="2">
        <v>101.878</v>
      </c>
      <c r="F150" s="2">
        <v>101.65309999999999</v>
      </c>
    </row>
    <row r="151" spans="1:6" x14ac:dyDescent="0.25">
      <c r="A151">
        <v>2025</v>
      </c>
      <c r="B151" t="s">
        <v>18</v>
      </c>
      <c r="C151" t="s">
        <v>11</v>
      </c>
      <c r="D151" s="2">
        <v>102.09009999999999</v>
      </c>
      <c r="E151" s="2">
        <v>102.4632</v>
      </c>
      <c r="F151" s="2">
        <v>102.28513999999998</v>
      </c>
    </row>
    <row r="152" spans="1:6" x14ac:dyDescent="0.25">
      <c r="A152">
        <v>2025</v>
      </c>
      <c r="B152" t="s">
        <v>19</v>
      </c>
      <c r="C152" t="s">
        <v>11</v>
      </c>
      <c r="D152" s="2">
        <v>103.18671999999999</v>
      </c>
      <c r="E152" s="2">
        <v>103.36760000000001</v>
      </c>
      <c r="F152" s="2">
        <v>103.28586999999999</v>
      </c>
    </row>
    <row r="153" spans="1:6" x14ac:dyDescent="0.25">
      <c r="A153">
        <v>2025</v>
      </c>
      <c r="B153" t="s">
        <v>20</v>
      </c>
      <c r="C153" t="s">
        <v>11</v>
      </c>
      <c r="D153" s="2">
        <v>103.76114</v>
      </c>
      <c r="E153" s="2">
        <v>103.74000000000001</v>
      </c>
      <c r="F153" s="2">
        <v>103.75989999999999</v>
      </c>
    </row>
    <row r="154" spans="1:6" x14ac:dyDescent="0.25">
      <c r="A154">
        <v>2025</v>
      </c>
      <c r="B154" t="s">
        <v>21</v>
      </c>
      <c r="C154" t="s">
        <v>11</v>
      </c>
      <c r="D154" s="2">
        <v>103.81336</v>
      </c>
      <c r="E154" s="2">
        <v>103.68680000000001</v>
      </c>
      <c r="F154" s="2">
        <v>103.75989999999999</v>
      </c>
    </row>
    <row r="155" spans="1:6" x14ac:dyDescent="0.25">
      <c r="A155">
        <v>2025</v>
      </c>
      <c r="B155" t="s">
        <v>22</v>
      </c>
      <c r="C155" t="s">
        <v>11</v>
      </c>
      <c r="D155" s="2">
        <v>103.9178</v>
      </c>
      <c r="E155" s="2">
        <v>103.95280000000001</v>
      </c>
      <c r="F155" s="2">
        <v>103.91790999999999</v>
      </c>
    </row>
    <row r="156" spans="1:6" x14ac:dyDescent="0.25">
      <c r="A156">
        <v>2025</v>
      </c>
      <c r="B156" t="s">
        <v>23</v>
      </c>
      <c r="C156" t="s">
        <v>11</v>
      </c>
      <c r="D156" s="2">
        <v>104.23111999999999</v>
      </c>
      <c r="E156" s="2">
        <v>104.2188</v>
      </c>
      <c r="F156" s="2">
        <v>104.23392999999999</v>
      </c>
    </row>
    <row r="157" spans="1:6" x14ac:dyDescent="0.25">
      <c r="A157">
        <v>2025</v>
      </c>
      <c r="B157" t="s">
        <v>24</v>
      </c>
      <c r="C157" t="s">
        <v>11</v>
      </c>
      <c r="D157" s="2">
        <v>104.38778000000001</v>
      </c>
      <c r="E157" s="2">
        <v>104.2188</v>
      </c>
      <c r="F157" s="2">
        <v>104.28659999999999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R1" sqref="R1"/>
    </sheetView>
  </sheetViews>
  <sheetFormatPr defaultRowHeight="15" x14ac:dyDescent="0.25"/>
  <cols>
    <col min="2" max="2" width="26.42578125" customWidth="1"/>
    <col min="12" max="12" width="12.140625" customWidth="1"/>
  </cols>
  <sheetData>
    <row r="1" spans="1:13" x14ac:dyDescent="0.25">
      <c r="A1" t="s">
        <v>27</v>
      </c>
      <c r="G1" t="s">
        <v>28</v>
      </c>
    </row>
    <row r="2" spans="1:13" x14ac:dyDescent="0.25">
      <c r="A2" t="s">
        <v>0</v>
      </c>
      <c r="B2" t="s">
        <v>1</v>
      </c>
      <c r="C2" t="s">
        <v>6</v>
      </c>
      <c r="D2" t="s">
        <v>7</v>
      </c>
      <c r="E2" t="s">
        <v>8</v>
      </c>
      <c r="H2" t="s">
        <v>6</v>
      </c>
      <c r="J2" t="s">
        <v>7</v>
      </c>
      <c r="L2" t="s">
        <v>8</v>
      </c>
    </row>
    <row r="3" spans="1:13" x14ac:dyDescent="0.25">
      <c r="A3">
        <v>2025</v>
      </c>
      <c r="B3" t="s">
        <v>10</v>
      </c>
      <c r="C3">
        <v>195.9</v>
      </c>
      <c r="D3">
        <v>190.6</v>
      </c>
      <c r="E3">
        <v>193.4</v>
      </c>
      <c r="F3" t="s">
        <v>13</v>
      </c>
      <c r="G3" t="s">
        <v>29</v>
      </c>
      <c r="H3">
        <v>101.8082486509425</v>
      </c>
      <c r="I3">
        <f>ROUND(H3,2)</f>
        <v>101.81</v>
      </c>
      <c r="J3">
        <v>101.4921082135148</v>
      </c>
      <c r="K3">
        <v>101.49</v>
      </c>
      <c r="L3">
        <v>101.66731073259029</v>
      </c>
      <c r="M3">
        <v>101.67</v>
      </c>
    </row>
    <row r="4" spans="1:13" x14ac:dyDescent="0.25">
      <c r="A4">
        <v>2025</v>
      </c>
      <c r="B4" t="s">
        <v>14</v>
      </c>
      <c r="C4">
        <v>194.5</v>
      </c>
      <c r="D4">
        <v>190.1</v>
      </c>
      <c r="E4">
        <v>192.5</v>
      </c>
      <c r="F4" t="s">
        <v>13</v>
      </c>
      <c r="G4" t="s">
        <v>30</v>
      </c>
      <c r="H4">
        <v>101.3312663569438</v>
      </c>
      <c r="I4">
        <f t="shared" ref="I4:I14" si="0">ROUND(H4,2)</f>
        <v>101.33</v>
      </c>
      <c r="J4">
        <v>101.3017724241777</v>
      </c>
      <c r="K4">
        <v>101.3</v>
      </c>
      <c r="L4">
        <v>101.3181177274236</v>
      </c>
      <c r="M4">
        <v>101.32</v>
      </c>
    </row>
    <row r="5" spans="1:13" x14ac:dyDescent="0.25">
      <c r="A5">
        <v>2025</v>
      </c>
      <c r="B5" t="s">
        <v>15</v>
      </c>
      <c r="C5">
        <v>193.9</v>
      </c>
      <c r="D5">
        <v>189.9</v>
      </c>
      <c r="E5">
        <v>192</v>
      </c>
      <c r="F5" t="s">
        <v>13</v>
      </c>
      <c r="G5" t="s">
        <v>31</v>
      </c>
      <c r="H5">
        <v>101.3353475293673</v>
      </c>
      <c r="I5">
        <f t="shared" si="0"/>
        <v>101.34</v>
      </c>
      <c r="J5">
        <v>101.4686578398402</v>
      </c>
      <c r="K5">
        <v>101.47</v>
      </c>
      <c r="L5">
        <v>101.3947783247625</v>
      </c>
      <c r="M5">
        <v>101.39</v>
      </c>
    </row>
    <row r="6" spans="1:13" x14ac:dyDescent="0.25">
      <c r="A6">
        <v>2025</v>
      </c>
      <c r="B6" t="s">
        <v>16</v>
      </c>
      <c r="C6">
        <v>194</v>
      </c>
      <c r="D6">
        <v>190.9</v>
      </c>
      <c r="E6">
        <v>192.6</v>
      </c>
      <c r="F6" t="s">
        <v>13</v>
      </c>
      <c r="G6" t="s">
        <v>32</v>
      </c>
      <c r="H6">
        <v>101.4853503826124</v>
      </c>
      <c r="I6">
        <f t="shared" si="0"/>
        <v>101.49</v>
      </c>
      <c r="J6">
        <v>101.7080111809012</v>
      </c>
      <c r="K6">
        <v>101.71</v>
      </c>
      <c r="L6">
        <v>101.58461433525569</v>
      </c>
      <c r="M6">
        <v>101.58</v>
      </c>
    </row>
    <row r="7" spans="1:13" x14ac:dyDescent="0.25">
      <c r="A7">
        <v>2025</v>
      </c>
      <c r="B7" t="s">
        <v>17</v>
      </c>
      <c r="C7">
        <v>194.3</v>
      </c>
      <c r="D7">
        <v>191.5</v>
      </c>
      <c r="E7">
        <v>193</v>
      </c>
      <c r="F7" t="s">
        <v>13</v>
      </c>
      <c r="G7" t="s">
        <v>17</v>
      </c>
      <c r="H7">
        <v>101.7777981759632</v>
      </c>
      <c r="I7">
        <f t="shared" si="0"/>
        <v>101.78</v>
      </c>
      <c r="J7">
        <v>102.06003623875181</v>
      </c>
      <c r="K7">
        <v>102.06</v>
      </c>
      <c r="L7">
        <v>101.9036221463886</v>
      </c>
      <c r="M7">
        <v>101.9</v>
      </c>
    </row>
    <row r="8" spans="1:13" x14ac:dyDescent="0.25">
      <c r="A8">
        <v>2025</v>
      </c>
      <c r="B8" t="s">
        <v>18</v>
      </c>
      <c r="C8">
        <v>195.5</v>
      </c>
      <c r="D8">
        <v>192.6</v>
      </c>
      <c r="E8">
        <v>194.2</v>
      </c>
      <c r="F8" t="s">
        <v>13</v>
      </c>
      <c r="G8" t="s">
        <v>33</v>
      </c>
      <c r="H8">
        <v>102.3861771473306</v>
      </c>
      <c r="I8">
        <f t="shared" si="0"/>
        <v>102.39</v>
      </c>
      <c r="J8">
        <v>102.6623171738345</v>
      </c>
      <c r="K8">
        <v>102.66</v>
      </c>
      <c r="L8">
        <v>102.5092825647388</v>
      </c>
      <c r="M8">
        <v>102.51</v>
      </c>
    </row>
    <row r="9" spans="1:13" x14ac:dyDescent="0.25">
      <c r="A9">
        <v>2025</v>
      </c>
      <c r="B9" t="s">
        <v>19</v>
      </c>
      <c r="C9">
        <v>197.6</v>
      </c>
      <c r="D9">
        <v>194.3</v>
      </c>
      <c r="E9">
        <v>196.1</v>
      </c>
      <c r="F9" t="s">
        <v>13</v>
      </c>
      <c r="G9" t="s">
        <v>34</v>
      </c>
      <c r="H9">
        <v>103.3364330119809</v>
      </c>
      <c r="I9">
        <f t="shared" si="0"/>
        <v>103.34</v>
      </c>
      <c r="J9">
        <v>103.3619417568043</v>
      </c>
      <c r="K9">
        <v>103.36</v>
      </c>
      <c r="L9">
        <v>103.3478050130588</v>
      </c>
      <c r="M9">
        <v>103.35</v>
      </c>
    </row>
    <row r="10" spans="1:13" x14ac:dyDescent="0.25">
      <c r="A10">
        <v>2025</v>
      </c>
      <c r="B10" t="s">
        <v>20</v>
      </c>
      <c r="C10">
        <v>198.7</v>
      </c>
      <c r="D10">
        <v>195</v>
      </c>
      <c r="E10">
        <v>197</v>
      </c>
      <c r="F10" t="s">
        <v>13</v>
      </c>
      <c r="G10" t="s">
        <v>35</v>
      </c>
      <c r="H10">
        <v>103.8440988425062</v>
      </c>
      <c r="I10">
        <f t="shared" si="0"/>
        <v>103.84</v>
      </c>
      <c r="J10">
        <v>103.6027625161221</v>
      </c>
      <c r="K10">
        <v>103.6</v>
      </c>
      <c r="L10">
        <v>103.7365091910839</v>
      </c>
      <c r="M10">
        <v>103.74</v>
      </c>
    </row>
    <row r="11" spans="1:13" x14ac:dyDescent="0.25">
      <c r="A11">
        <v>2025</v>
      </c>
      <c r="B11" t="s">
        <v>21</v>
      </c>
      <c r="C11">
        <v>198.8</v>
      </c>
      <c r="D11">
        <v>194.9</v>
      </c>
      <c r="E11">
        <v>197</v>
      </c>
      <c r="F11" t="s">
        <v>13</v>
      </c>
      <c r="G11" t="s">
        <v>36</v>
      </c>
      <c r="H11">
        <v>103.8044775957584</v>
      </c>
      <c r="I11">
        <f t="shared" si="0"/>
        <v>103.8</v>
      </c>
      <c r="J11">
        <v>103.6586667479027</v>
      </c>
      <c r="K11">
        <v>103.66</v>
      </c>
      <c r="L11">
        <v>103.7394739614965</v>
      </c>
      <c r="M11">
        <v>103.74</v>
      </c>
    </row>
    <row r="12" spans="1:13" x14ac:dyDescent="0.25">
      <c r="A12">
        <v>2025</v>
      </c>
      <c r="B12" t="s">
        <v>22</v>
      </c>
      <c r="C12">
        <v>199</v>
      </c>
      <c r="D12">
        <v>195.4</v>
      </c>
      <c r="E12">
        <v>197.3</v>
      </c>
      <c r="F12" t="s">
        <v>13</v>
      </c>
      <c r="G12" t="s">
        <v>37</v>
      </c>
      <c r="H12">
        <v>103.84536001989621</v>
      </c>
      <c r="I12">
        <f t="shared" si="0"/>
        <v>103.85</v>
      </c>
      <c r="J12">
        <v>103.60963068546801</v>
      </c>
      <c r="K12">
        <v>103.61</v>
      </c>
      <c r="L12">
        <v>103.7402700100285</v>
      </c>
      <c r="M12">
        <v>103.74</v>
      </c>
    </row>
    <row r="13" spans="1:13" x14ac:dyDescent="0.25">
      <c r="A13">
        <v>2025</v>
      </c>
      <c r="B13" t="s">
        <v>23</v>
      </c>
      <c r="C13">
        <v>199.6</v>
      </c>
      <c r="D13">
        <v>195.9</v>
      </c>
      <c r="E13">
        <v>197.9</v>
      </c>
      <c r="F13" t="s">
        <v>13</v>
      </c>
      <c r="G13" t="s">
        <v>38</v>
      </c>
      <c r="H13">
        <v>104.1639356155294</v>
      </c>
      <c r="I13">
        <f t="shared" si="0"/>
        <v>104.16</v>
      </c>
      <c r="J13">
        <v>103.8254477893056</v>
      </c>
      <c r="K13">
        <v>103.83</v>
      </c>
      <c r="L13">
        <v>104.0130350537294</v>
      </c>
      <c r="M13">
        <v>104.01</v>
      </c>
    </row>
    <row r="14" spans="1:13" x14ac:dyDescent="0.25">
      <c r="A14">
        <v>2025</v>
      </c>
      <c r="B14" t="s">
        <v>24</v>
      </c>
      <c r="C14">
        <v>199.9</v>
      </c>
      <c r="D14">
        <v>195.9</v>
      </c>
      <c r="E14">
        <v>198</v>
      </c>
      <c r="F14" t="s">
        <v>26</v>
      </c>
      <c r="G14" t="s">
        <v>39</v>
      </c>
      <c r="H14">
        <v>104.1915971422102</v>
      </c>
      <c r="I14">
        <f t="shared" si="0"/>
        <v>104.19</v>
      </c>
      <c r="J14">
        <v>103.978154824131</v>
      </c>
      <c r="K14">
        <v>103.98</v>
      </c>
      <c r="L14">
        <v>104.0964428612738</v>
      </c>
      <c r="M14">
        <v>104.1</v>
      </c>
    </row>
    <row r="15" spans="1:13" x14ac:dyDescent="0.25">
      <c r="C15">
        <f>GEOMEAN(C3:C14)</f>
        <v>196.79545379070277</v>
      </c>
      <c r="D15">
        <f t="shared" ref="D15:E15" si="1">GEOMEAN(D3:D14)</f>
        <v>193.06985517899994</v>
      </c>
      <c r="E15">
        <f t="shared" si="1"/>
        <v>195.07050747248138</v>
      </c>
      <c r="H15">
        <f>GEOMEAN(H3:H14)</f>
        <v>102.76955436957685</v>
      </c>
      <c r="I15">
        <f>GEOMEAN(I3:I14)</f>
        <v>102.77040118013133</v>
      </c>
      <c r="J15">
        <f t="shared" ref="J15:M15" si="2">GEOMEAN(J3:J14)</f>
        <v>102.72249743060028</v>
      </c>
      <c r="K15">
        <f t="shared" si="2"/>
        <v>102.72253296320241</v>
      </c>
      <c r="L15">
        <f t="shared" si="2"/>
        <v>102.7486353589432</v>
      </c>
      <c r="M15">
        <f t="shared" si="2"/>
        <v>102.74851786890727</v>
      </c>
    </row>
    <row r="17" spans="2:9" x14ac:dyDescent="0.25">
      <c r="C17" t="s">
        <v>6</v>
      </c>
      <c r="D17" t="s">
        <v>7</v>
      </c>
      <c r="E17" t="s">
        <v>8</v>
      </c>
    </row>
    <row r="18" spans="2:9" x14ac:dyDescent="0.25">
      <c r="B18" t="s">
        <v>40</v>
      </c>
      <c r="C18">
        <f>H15/C15</f>
        <v>0.52221508368214153</v>
      </c>
      <c r="D18">
        <f>J15/D15</f>
        <v>0.53204834765822795</v>
      </c>
      <c r="E18">
        <f>L15/E15</f>
        <v>0.52672562700662462</v>
      </c>
      <c r="G18">
        <f>I15/C15</f>
        <v>0.52221938668070256</v>
      </c>
      <c r="H18">
        <f>K15/D15</f>
        <v>0.53204853169836253</v>
      </c>
      <c r="I18">
        <f>M15/E15</f>
        <v>0.52672502471139582</v>
      </c>
    </row>
    <row r="19" spans="2:9" x14ac:dyDescent="0.25">
      <c r="C19">
        <v>0.5222</v>
      </c>
      <c r="D19">
        <v>0.53200000000000003</v>
      </c>
      <c r="E19">
        <v>0.52669999999999995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9"/>
  <sheetViews>
    <sheetView workbookViewId="0">
      <selection activeCell="R20" sqref="R20"/>
    </sheetView>
  </sheetViews>
  <sheetFormatPr defaultRowHeight="15" x14ac:dyDescent="0.25"/>
  <cols>
    <col min="1" max="1" width="8.85546875" bestFit="1" customWidth="1"/>
    <col min="2" max="2" width="7.28515625" bestFit="1" customWidth="1"/>
    <col min="3" max="3" width="10.85546875" bestFit="1" customWidth="1"/>
    <col min="4" max="4" width="11.42578125" bestFit="1" customWidth="1"/>
    <col min="5" max="5" width="12" bestFit="1" customWidth="1"/>
    <col min="10" max="11" width="15.5703125" customWidth="1"/>
  </cols>
  <sheetData>
    <row r="1" spans="1:12" x14ac:dyDescent="0.25">
      <c r="A1" s="1" t="s">
        <v>2</v>
      </c>
      <c r="B1" s="1" t="s">
        <v>0</v>
      </c>
      <c r="C1" s="1" t="s">
        <v>1</v>
      </c>
      <c r="D1" s="1" t="s">
        <v>43</v>
      </c>
      <c r="E1" s="1" t="s">
        <v>44</v>
      </c>
      <c r="G1" t="s">
        <v>2</v>
      </c>
      <c r="H1" t="s">
        <v>0</v>
      </c>
      <c r="I1" t="s">
        <v>1</v>
      </c>
      <c r="J1" t="s">
        <v>43</v>
      </c>
      <c r="L1" t="s">
        <v>44</v>
      </c>
    </row>
    <row r="2" spans="1:12" x14ac:dyDescent="0.25">
      <c r="A2" s="1" t="s">
        <v>11</v>
      </c>
      <c r="B2" s="1">
        <v>2013</v>
      </c>
      <c r="C2" s="1" t="s">
        <v>10</v>
      </c>
      <c r="D2" s="1" t="s">
        <v>6</v>
      </c>
      <c r="E2" s="1">
        <v>54.884805294993072</v>
      </c>
      <c r="G2" t="s">
        <v>11</v>
      </c>
      <c r="H2">
        <v>2013</v>
      </c>
      <c r="I2" t="s">
        <v>10</v>
      </c>
      <c r="J2" t="s">
        <v>6</v>
      </c>
      <c r="K2" t="str">
        <f>CONCATENATE(J2,H2,I2)</f>
        <v>Rural2013January</v>
      </c>
      <c r="L2" s="2">
        <v>54.884805294993072</v>
      </c>
    </row>
    <row r="3" spans="1:12" x14ac:dyDescent="0.25">
      <c r="A3" s="1" t="s">
        <v>11</v>
      </c>
      <c r="B3" s="1">
        <v>2013</v>
      </c>
      <c r="C3" s="1" t="s">
        <v>10</v>
      </c>
      <c r="D3" s="1" t="s">
        <v>7</v>
      </c>
      <c r="E3" s="1">
        <v>55.333028156455704</v>
      </c>
      <c r="G3" t="s">
        <v>11</v>
      </c>
      <c r="H3">
        <v>2013</v>
      </c>
      <c r="I3" t="s">
        <v>10</v>
      </c>
      <c r="J3" t="s">
        <v>7</v>
      </c>
      <c r="K3" t="str">
        <f t="shared" ref="K3:K66" si="0">CONCATENATE(J3,H3,I3)</f>
        <v>Urban2013January</v>
      </c>
      <c r="L3" s="2">
        <v>55.333028156455704</v>
      </c>
    </row>
    <row r="4" spans="1:12" x14ac:dyDescent="0.25">
      <c r="A4" s="1" t="s">
        <v>11</v>
      </c>
      <c r="B4" s="1">
        <v>2013</v>
      </c>
      <c r="C4" s="1" t="s">
        <v>10</v>
      </c>
      <c r="D4" s="1" t="s">
        <v>8</v>
      </c>
      <c r="E4" s="1">
        <v>55.095500584892932</v>
      </c>
      <c r="G4" t="s">
        <v>11</v>
      </c>
      <c r="H4">
        <v>2013</v>
      </c>
      <c r="I4" t="s">
        <v>10</v>
      </c>
      <c r="J4" t="s">
        <v>8</v>
      </c>
      <c r="K4" t="str">
        <f t="shared" si="0"/>
        <v>Combined2013January</v>
      </c>
      <c r="L4" s="2">
        <v>55.095500584892932</v>
      </c>
    </row>
    <row r="5" spans="1:12" x14ac:dyDescent="0.25">
      <c r="A5" s="1" t="s">
        <v>11</v>
      </c>
      <c r="B5" s="1">
        <v>2013</v>
      </c>
      <c r="C5" s="1" t="s">
        <v>14</v>
      </c>
      <c r="D5" s="1" t="s">
        <v>6</v>
      </c>
      <c r="E5" s="1">
        <v>55.250355853570575</v>
      </c>
      <c r="G5" t="s">
        <v>11</v>
      </c>
      <c r="H5">
        <v>2013</v>
      </c>
      <c r="I5" t="s">
        <v>14</v>
      </c>
      <c r="J5" t="s">
        <v>6</v>
      </c>
      <c r="K5" t="str">
        <f t="shared" si="0"/>
        <v>Rural2013February</v>
      </c>
      <c r="L5" s="2">
        <v>55.250355853570575</v>
      </c>
    </row>
    <row r="6" spans="1:12" x14ac:dyDescent="0.25">
      <c r="A6" s="1" t="s">
        <v>11</v>
      </c>
      <c r="B6" s="1">
        <v>2013</v>
      </c>
      <c r="C6" s="1" t="s">
        <v>14</v>
      </c>
      <c r="D6" s="1" t="s">
        <v>7</v>
      </c>
      <c r="E6" s="1">
        <v>55.705461999816471</v>
      </c>
      <c r="G6" t="s">
        <v>11</v>
      </c>
      <c r="H6">
        <v>2013</v>
      </c>
      <c r="I6" t="s">
        <v>14</v>
      </c>
      <c r="J6" t="s">
        <v>7</v>
      </c>
      <c r="K6" t="str">
        <f t="shared" si="0"/>
        <v>Urban2013February</v>
      </c>
      <c r="L6" s="2">
        <v>55.705461999816471</v>
      </c>
    </row>
    <row r="7" spans="1:12" x14ac:dyDescent="0.25">
      <c r="A7" s="1" t="s">
        <v>11</v>
      </c>
      <c r="B7" s="1">
        <v>2013</v>
      </c>
      <c r="C7" s="1" t="s">
        <v>14</v>
      </c>
      <c r="D7" s="1" t="s">
        <v>8</v>
      </c>
      <c r="E7" s="1">
        <v>55.464208523797573</v>
      </c>
      <c r="G7" t="s">
        <v>11</v>
      </c>
      <c r="H7">
        <v>2013</v>
      </c>
      <c r="I7" t="s">
        <v>14</v>
      </c>
      <c r="J7" t="s">
        <v>8</v>
      </c>
      <c r="K7" t="str">
        <f t="shared" si="0"/>
        <v>Combined2013February</v>
      </c>
      <c r="L7" s="2">
        <v>55.464208523797573</v>
      </c>
    </row>
    <row r="8" spans="1:12" x14ac:dyDescent="0.25">
      <c r="A8" s="1" t="s">
        <v>11</v>
      </c>
      <c r="B8" s="1">
        <v>2013</v>
      </c>
      <c r="C8" s="1" t="s">
        <v>15</v>
      </c>
      <c r="D8" s="1" t="s">
        <v>6</v>
      </c>
      <c r="E8" s="1">
        <v>55.354798870307</v>
      </c>
      <c r="G8" t="s">
        <v>11</v>
      </c>
      <c r="H8">
        <v>2013</v>
      </c>
      <c r="I8" t="s">
        <v>15</v>
      </c>
      <c r="J8" t="s">
        <v>6</v>
      </c>
      <c r="K8" t="str">
        <f t="shared" si="0"/>
        <v>Rural2013March</v>
      </c>
      <c r="L8" s="2">
        <v>55.354798870307</v>
      </c>
    </row>
    <row r="9" spans="1:12" x14ac:dyDescent="0.25">
      <c r="A9" s="1" t="s">
        <v>11</v>
      </c>
      <c r="B9" s="1">
        <v>2013</v>
      </c>
      <c r="C9" s="1" t="s">
        <v>15</v>
      </c>
      <c r="D9" s="1" t="s">
        <v>7</v>
      </c>
      <c r="E9" s="1">
        <v>55.865076504113937</v>
      </c>
      <c r="G9" t="s">
        <v>11</v>
      </c>
      <c r="H9">
        <v>2013</v>
      </c>
      <c r="I9" t="s">
        <v>15</v>
      </c>
      <c r="J9" t="s">
        <v>7</v>
      </c>
      <c r="K9" t="str">
        <f t="shared" si="0"/>
        <v>Urban2013March</v>
      </c>
      <c r="L9" s="2">
        <v>55.865076504113937</v>
      </c>
    </row>
    <row r="10" spans="1:12" x14ac:dyDescent="0.25">
      <c r="A10" s="1" t="s">
        <v>11</v>
      </c>
      <c r="B10" s="1">
        <v>2013</v>
      </c>
      <c r="C10" s="1" t="s">
        <v>15</v>
      </c>
      <c r="D10" s="1" t="s">
        <v>8</v>
      </c>
      <c r="E10" s="1">
        <v>55.569553649198895</v>
      </c>
      <c r="G10" t="s">
        <v>11</v>
      </c>
      <c r="H10">
        <v>2013</v>
      </c>
      <c r="I10" t="s">
        <v>15</v>
      </c>
      <c r="J10" t="s">
        <v>8</v>
      </c>
      <c r="K10" t="str">
        <f t="shared" si="0"/>
        <v>Combined2013March</v>
      </c>
      <c r="L10" s="2">
        <v>55.569553649198895</v>
      </c>
    </row>
    <row r="11" spans="1:12" x14ac:dyDescent="0.25">
      <c r="A11" s="1" t="s">
        <v>11</v>
      </c>
      <c r="B11" s="1">
        <v>2013</v>
      </c>
      <c r="C11" s="1" t="s">
        <v>16</v>
      </c>
      <c r="D11" s="1" t="s">
        <v>6</v>
      </c>
      <c r="E11" s="1">
        <v>55.563684903779865</v>
      </c>
      <c r="G11" t="s">
        <v>11</v>
      </c>
      <c r="H11">
        <v>2013</v>
      </c>
      <c r="I11" t="s">
        <v>16</v>
      </c>
      <c r="J11" t="s">
        <v>6</v>
      </c>
      <c r="K11" t="str">
        <f t="shared" si="0"/>
        <v>Rural2013April</v>
      </c>
      <c r="L11" s="2">
        <v>55.563684903779865</v>
      </c>
    </row>
    <row r="12" spans="1:12" x14ac:dyDescent="0.25">
      <c r="A12" s="1" t="s">
        <v>11</v>
      </c>
      <c r="B12" s="1">
        <v>2013</v>
      </c>
      <c r="C12" s="1" t="s">
        <v>16</v>
      </c>
      <c r="D12" s="1" t="s">
        <v>7</v>
      </c>
      <c r="E12" s="1">
        <v>56.237510347474696</v>
      </c>
      <c r="G12" t="s">
        <v>11</v>
      </c>
      <c r="H12">
        <v>2013</v>
      </c>
      <c r="I12" t="s">
        <v>16</v>
      </c>
      <c r="J12" t="s">
        <v>7</v>
      </c>
      <c r="K12" t="str">
        <f t="shared" si="0"/>
        <v>Urban2013April</v>
      </c>
      <c r="L12" s="2">
        <v>56.237510347474696</v>
      </c>
    </row>
    <row r="13" spans="1:12" x14ac:dyDescent="0.25">
      <c r="A13" s="1" t="s">
        <v>11</v>
      </c>
      <c r="B13" s="1">
        <v>2013</v>
      </c>
      <c r="C13" s="1" t="s">
        <v>16</v>
      </c>
      <c r="D13" s="1" t="s">
        <v>8</v>
      </c>
      <c r="E13" s="1">
        <v>55.885589025402872</v>
      </c>
      <c r="G13" t="s">
        <v>11</v>
      </c>
      <c r="H13">
        <v>2013</v>
      </c>
      <c r="I13" t="s">
        <v>16</v>
      </c>
      <c r="J13" t="s">
        <v>8</v>
      </c>
      <c r="K13" t="str">
        <f t="shared" si="0"/>
        <v>Combined2013April</v>
      </c>
      <c r="L13" s="2">
        <v>55.885589025402872</v>
      </c>
    </row>
    <row r="14" spans="1:12" x14ac:dyDescent="0.25">
      <c r="A14" s="1" t="s">
        <v>11</v>
      </c>
      <c r="B14" s="1">
        <v>2013</v>
      </c>
      <c r="C14" s="1" t="s">
        <v>17</v>
      </c>
      <c r="D14" s="1" t="s">
        <v>6</v>
      </c>
      <c r="E14" s="1">
        <v>55.981456970725574</v>
      </c>
      <c r="G14" t="s">
        <v>11</v>
      </c>
      <c r="H14">
        <v>2013</v>
      </c>
      <c r="I14" t="s">
        <v>17</v>
      </c>
      <c r="J14" t="s">
        <v>6</v>
      </c>
      <c r="K14" t="str">
        <f t="shared" si="0"/>
        <v>Rural2013May</v>
      </c>
      <c r="L14" s="2">
        <v>55.981456970725574</v>
      </c>
    </row>
    <row r="15" spans="1:12" x14ac:dyDescent="0.25">
      <c r="A15" s="1" t="s">
        <v>11</v>
      </c>
      <c r="B15" s="1">
        <v>2013</v>
      </c>
      <c r="C15" s="1" t="s">
        <v>17</v>
      </c>
      <c r="D15" s="1" t="s">
        <v>7</v>
      </c>
      <c r="E15" s="1">
        <v>56.716353860367093</v>
      </c>
      <c r="G15" t="s">
        <v>11</v>
      </c>
      <c r="H15">
        <v>2013</v>
      </c>
      <c r="I15" t="s">
        <v>17</v>
      </c>
      <c r="J15" t="s">
        <v>7</v>
      </c>
      <c r="K15" t="str">
        <f t="shared" si="0"/>
        <v>Urban2013May</v>
      </c>
      <c r="L15" s="2">
        <v>56.716353860367093</v>
      </c>
    </row>
    <row r="16" spans="1:12" x14ac:dyDescent="0.25">
      <c r="A16" s="1" t="s">
        <v>11</v>
      </c>
      <c r="B16" s="1">
        <v>2013</v>
      </c>
      <c r="C16" s="1" t="s">
        <v>17</v>
      </c>
      <c r="D16" s="1" t="s">
        <v>8</v>
      </c>
      <c r="E16" s="1">
        <v>56.306969527008178</v>
      </c>
      <c r="G16" t="s">
        <v>11</v>
      </c>
      <c r="H16">
        <v>2013</v>
      </c>
      <c r="I16" t="s">
        <v>17</v>
      </c>
      <c r="J16" t="s">
        <v>8</v>
      </c>
      <c r="K16" t="str">
        <f t="shared" si="0"/>
        <v>Combined2013May</v>
      </c>
      <c r="L16" s="2">
        <v>56.306969527008178</v>
      </c>
    </row>
    <row r="17" spans="1:12" x14ac:dyDescent="0.25">
      <c r="A17" s="1" t="s">
        <v>11</v>
      </c>
      <c r="B17" s="1">
        <v>2013</v>
      </c>
      <c r="C17" s="1" t="s">
        <v>18</v>
      </c>
      <c r="D17" s="1" t="s">
        <v>6</v>
      </c>
      <c r="E17" s="1">
        <v>56.869222612985219</v>
      </c>
      <c r="G17" t="s">
        <v>11</v>
      </c>
      <c r="H17">
        <v>2013</v>
      </c>
      <c r="I17" t="s">
        <v>18</v>
      </c>
      <c r="J17" t="s">
        <v>6</v>
      </c>
      <c r="K17" t="str">
        <f t="shared" si="0"/>
        <v>Rural2013June</v>
      </c>
      <c r="L17" s="2">
        <v>56.869222612985219</v>
      </c>
    </row>
    <row r="18" spans="1:12" x14ac:dyDescent="0.25">
      <c r="A18" s="1" t="s">
        <v>11</v>
      </c>
      <c r="B18" s="1">
        <v>2013</v>
      </c>
      <c r="C18" s="1" t="s">
        <v>18</v>
      </c>
      <c r="D18" s="1" t="s">
        <v>7</v>
      </c>
      <c r="E18" s="1">
        <v>58.365703738107605</v>
      </c>
      <c r="G18" t="s">
        <v>11</v>
      </c>
      <c r="H18">
        <v>2013</v>
      </c>
      <c r="I18" t="s">
        <v>18</v>
      </c>
      <c r="J18" t="s">
        <v>7</v>
      </c>
      <c r="K18" t="str">
        <f t="shared" si="0"/>
        <v>Urban2013June</v>
      </c>
      <c r="L18" s="2">
        <v>58.365703738107605</v>
      </c>
    </row>
    <row r="19" spans="1:12" x14ac:dyDescent="0.25">
      <c r="A19" s="1" t="s">
        <v>11</v>
      </c>
      <c r="B19" s="1">
        <v>2013</v>
      </c>
      <c r="C19" s="1" t="s">
        <v>18</v>
      </c>
      <c r="D19" s="1" t="s">
        <v>8</v>
      </c>
      <c r="E19" s="1">
        <v>57.571111031824067</v>
      </c>
      <c r="G19" t="s">
        <v>11</v>
      </c>
      <c r="H19">
        <v>2013</v>
      </c>
      <c r="I19" t="s">
        <v>18</v>
      </c>
      <c r="J19" t="s">
        <v>8</v>
      </c>
      <c r="K19" t="str">
        <f t="shared" si="0"/>
        <v>Combined2013June</v>
      </c>
      <c r="L19" s="2">
        <v>57.571111031824067</v>
      </c>
    </row>
    <row r="20" spans="1:12" x14ac:dyDescent="0.25">
      <c r="A20" s="1" t="s">
        <v>11</v>
      </c>
      <c r="B20" s="1">
        <v>2013</v>
      </c>
      <c r="C20" s="1" t="s">
        <v>19</v>
      </c>
      <c r="D20" s="1" t="s">
        <v>6</v>
      </c>
      <c r="E20" s="1">
        <v>57.809209763613069</v>
      </c>
      <c r="G20" t="s">
        <v>11</v>
      </c>
      <c r="H20">
        <v>2013</v>
      </c>
      <c r="I20" t="s">
        <v>19</v>
      </c>
      <c r="J20" t="s">
        <v>6</v>
      </c>
      <c r="K20" t="str">
        <f t="shared" si="0"/>
        <v>Rural2013July</v>
      </c>
      <c r="L20" s="2">
        <v>57.809209763613069</v>
      </c>
    </row>
    <row r="21" spans="1:12" x14ac:dyDescent="0.25">
      <c r="A21" s="1" t="s">
        <v>11</v>
      </c>
      <c r="B21" s="1">
        <v>2013</v>
      </c>
      <c r="C21" s="1" t="s">
        <v>19</v>
      </c>
      <c r="D21" s="1" t="s">
        <v>7</v>
      </c>
      <c r="E21" s="1">
        <v>59.270185929126598</v>
      </c>
      <c r="G21" t="s">
        <v>11</v>
      </c>
      <c r="H21">
        <v>2013</v>
      </c>
      <c r="I21" t="s">
        <v>19</v>
      </c>
      <c r="J21" t="s">
        <v>7</v>
      </c>
      <c r="K21" t="str">
        <f t="shared" si="0"/>
        <v>Urban2013July</v>
      </c>
      <c r="L21" s="2">
        <v>59.270185929126598</v>
      </c>
    </row>
    <row r="22" spans="1:12" x14ac:dyDescent="0.25">
      <c r="A22" s="1" t="s">
        <v>11</v>
      </c>
      <c r="B22" s="1">
        <v>2013</v>
      </c>
      <c r="C22" s="1" t="s">
        <v>19</v>
      </c>
      <c r="D22" s="1" t="s">
        <v>8</v>
      </c>
      <c r="E22" s="1">
        <v>58.466544597735336</v>
      </c>
      <c r="G22" t="s">
        <v>11</v>
      </c>
      <c r="H22">
        <v>2013</v>
      </c>
      <c r="I22" t="s">
        <v>19</v>
      </c>
      <c r="J22" t="s">
        <v>8</v>
      </c>
      <c r="K22" t="str">
        <f t="shared" si="0"/>
        <v>Combined2013July</v>
      </c>
      <c r="L22" s="2">
        <v>58.466544597735336</v>
      </c>
    </row>
    <row r="23" spans="1:12" x14ac:dyDescent="0.25">
      <c r="A23" s="1" t="s">
        <v>11</v>
      </c>
      <c r="B23" s="1">
        <v>2013</v>
      </c>
      <c r="C23" s="1" t="s">
        <v>20</v>
      </c>
      <c r="D23" s="1" t="s">
        <v>6</v>
      </c>
      <c r="E23" s="1">
        <v>58.540310880768061</v>
      </c>
      <c r="G23" t="s">
        <v>11</v>
      </c>
      <c r="H23">
        <v>2013</v>
      </c>
      <c r="I23" t="s">
        <v>20</v>
      </c>
      <c r="J23" t="s">
        <v>6</v>
      </c>
      <c r="K23" t="str">
        <f t="shared" si="0"/>
        <v>Rural2013August</v>
      </c>
      <c r="L23" s="2">
        <v>58.540310880768061</v>
      </c>
    </row>
    <row r="24" spans="1:12" x14ac:dyDescent="0.25">
      <c r="A24" s="1" t="s">
        <v>11</v>
      </c>
      <c r="B24" s="1">
        <v>2013</v>
      </c>
      <c r="C24" s="1" t="s">
        <v>20</v>
      </c>
      <c r="D24" s="1" t="s">
        <v>7</v>
      </c>
      <c r="E24" s="1">
        <v>59.961848781082288</v>
      </c>
      <c r="G24" t="s">
        <v>11</v>
      </c>
      <c r="H24">
        <v>2013</v>
      </c>
      <c r="I24" t="s">
        <v>20</v>
      </c>
      <c r="J24" t="s">
        <v>7</v>
      </c>
      <c r="K24" t="str">
        <f t="shared" si="0"/>
        <v>Urban2013August</v>
      </c>
      <c r="L24" s="2">
        <v>59.961848781082288</v>
      </c>
    </row>
    <row r="25" spans="1:12" x14ac:dyDescent="0.25">
      <c r="A25" s="1" t="s">
        <v>11</v>
      </c>
      <c r="B25" s="1">
        <v>2013</v>
      </c>
      <c r="C25" s="1" t="s">
        <v>20</v>
      </c>
      <c r="D25" s="1" t="s">
        <v>8</v>
      </c>
      <c r="E25" s="1">
        <v>59.203960475544612</v>
      </c>
      <c r="G25" t="s">
        <v>11</v>
      </c>
      <c r="H25">
        <v>2013</v>
      </c>
      <c r="I25" t="s">
        <v>20</v>
      </c>
      <c r="J25" t="s">
        <v>8</v>
      </c>
      <c r="K25" t="str">
        <f t="shared" si="0"/>
        <v>Combined2013August</v>
      </c>
      <c r="L25" s="2">
        <v>59.203960475544612</v>
      </c>
    </row>
    <row r="26" spans="1:12" x14ac:dyDescent="0.25">
      <c r="A26" s="1" t="s">
        <v>11</v>
      </c>
      <c r="B26" s="1">
        <v>2013</v>
      </c>
      <c r="C26" s="1" t="s">
        <v>21</v>
      </c>
      <c r="D26" s="1" t="s">
        <v>6</v>
      </c>
      <c r="E26" s="1">
        <v>59.636962556500563</v>
      </c>
      <c r="G26" t="s">
        <v>11</v>
      </c>
      <c r="H26">
        <v>2013</v>
      </c>
      <c r="I26" t="s">
        <v>21</v>
      </c>
      <c r="J26" t="s">
        <v>6</v>
      </c>
      <c r="K26" t="str">
        <f t="shared" si="0"/>
        <v>Rural2013September</v>
      </c>
      <c r="L26" s="2">
        <v>59.636962556500563</v>
      </c>
    </row>
    <row r="27" spans="1:12" x14ac:dyDescent="0.25">
      <c r="A27" s="1" t="s">
        <v>11</v>
      </c>
      <c r="B27" s="1">
        <v>2013</v>
      </c>
      <c r="C27" s="1" t="s">
        <v>21</v>
      </c>
      <c r="D27" s="1" t="s">
        <v>7</v>
      </c>
      <c r="E27" s="1">
        <v>60.227872954911405</v>
      </c>
      <c r="G27" t="s">
        <v>11</v>
      </c>
      <c r="H27">
        <v>2013</v>
      </c>
      <c r="I27" t="s">
        <v>21</v>
      </c>
      <c r="J27" t="s">
        <v>7</v>
      </c>
      <c r="K27" t="str">
        <f t="shared" si="0"/>
        <v>Urban2013September</v>
      </c>
      <c r="L27" s="2">
        <v>60.227872954911405</v>
      </c>
    </row>
    <row r="28" spans="1:12" x14ac:dyDescent="0.25">
      <c r="A28" s="1" t="s">
        <v>11</v>
      </c>
      <c r="B28" s="1">
        <v>2013</v>
      </c>
      <c r="C28" s="1" t="s">
        <v>21</v>
      </c>
      <c r="D28" s="1" t="s">
        <v>8</v>
      </c>
      <c r="E28" s="1">
        <v>59.888703790653224</v>
      </c>
      <c r="G28" t="s">
        <v>11</v>
      </c>
      <c r="H28">
        <v>2013</v>
      </c>
      <c r="I28" t="s">
        <v>21</v>
      </c>
      <c r="J28" t="s">
        <v>8</v>
      </c>
      <c r="K28" t="str">
        <f t="shared" si="0"/>
        <v>Combined2013September</v>
      </c>
      <c r="L28" s="2">
        <v>59.888703790653224</v>
      </c>
    </row>
    <row r="29" spans="1:12" x14ac:dyDescent="0.25">
      <c r="A29" s="1" t="s">
        <v>11</v>
      </c>
      <c r="B29" s="1">
        <v>2013</v>
      </c>
      <c r="C29" s="1" t="s">
        <v>22</v>
      </c>
      <c r="D29" s="1" t="s">
        <v>6</v>
      </c>
      <c r="E29" s="1">
        <v>60.31584216528735</v>
      </c>
      <c r="G29" t="s">
        <v>11</v>
      </c>
      <c r="H29">
        <v>2013</v>
      </c>
      <c r="I29" t="s">
        <v>22</v>
      </c>
      <c r="J29" t="s">
        <v>6</v>
      </c>
      <c r="K29" t="str">
        <f t="shared" si="0"/>
        <v>Rural2013October</v>
      </c>
      <c r="L29" s="2">
        <v>60.31584216528735</v>
      </c>
    </row>
    <row r="30" spans="1:12" x14ac:dyDescent="0.25">
      <c r="A30" s="1" t="s">
        <v>11</v>
      </c>
      <c r="B30" s="1">
        <v>2013</v>
      </c>
      <c r="C30" s="1" t="s">
        <v>22</v>
      </c>
      <c r="D30" s="1" t="s">
        <v>7</v>
      </c>
      <c r="E30" s="1">
        <v>60.653511633037986</v>
      </c>
      <c r="G30" t="s">
        <v>11</v>
      </c>
      <c r="H30">
        <v>2013</v>
      </c>
      <c r="I30" t="s">
        <v>22</v>
      </c>
      <c r="J30" t="s">
        <v>7</v>
      </c>
      <c r="K30" t="str">
        <f t="shared" si="0"/>
        <v>Urban2013October</v>
      </c>
      <c r="L30" s="2">
        <v>60.653511633037986</v>
      </c>
    </row>
    <row r="31" spans="1:12" x14ac:dyDescent="0.25">
      <c r="A31" s="1" t="s">
        <v>11</v>
      </c>
      <c r="B31" s="1">
        <v>2013</v>
      </c>
      <c r="C31" s="1" t="s">
        <v>22</v>
      </c>
      <c r="D31" s="1" t="s">
        <v>8</v>
      </c>
      <c r="E31" s="1">
        <v>60.468101980360508</v>
      </c>
      <c r="G31" t="s">
        <v>11</v>
      </c>
      <c r="H31">
        <v>2013</v>
      </c>
      <c r="I31" t="s">
        <v>22</v>
      </c>
      <c r="J31" t="s">
        <v>8</v>
      </c>
      <c r="K31" t="str">
        <f t="shared" si="0"/>
        <v>Combined2013October</v>
      </c>
      <c r="L31" s="2">
        <v>60.468101980360508</v>
      </c>
    </row>
    <row r="32" spans="1:12" x14ac:dyDescent="0.25">
      <c r="A32" s="1" t="s">
        <v>11</v>
      </c>
      <c r="B32" s="1">
        <v>2013</v>
      </c>
      <c r="C32" s="1" t="s">
        <v>23</v>
      </c>
      <c r="D32" s="1" t="s">
        <v>6</v>
      </c>
      <c r="E32" s="1">
        <v>61.30805082428342</v>
      </c>
      <c r="G32" t="s">
        <v>11</v>
      </c>
      <c r="H32">
        <v>2013</v>
      </c>
      <c r="I32" t="s">
        <v>23</v>
      </c>
      <c r="J32" t="s">
        <v>6</v>
      </c>
      <c r="K32" t="str">
        <f t="shared" si="0"/>
        <v>Rural2013November</v>
      </c>
      <c r="L32" s="2">
        <v>61.30805082428342</v>
      </c>
    </row>
    <row r="33" spans="1:12" x14ac:dyDescent="0.25">
      <c r="A33" s="1" t="s">
        <v>11</v>
      </c>
      <c r="B33" s="1">
        <v>2013</v>
      </c>
      <c r="C33" s="1" t="s">
        <v>23</v>
      </c>
      <c r="D33" s="1" t="s">
        <v>7</v>
      </c>
      <c r="E33" s="1">
        <v>61.185559980696212</v>
      </c>
      <c r="G33" t="s">
        <v>11</v>
      </c>
      <c r="H33">
        <v>2013</v>
      </c>
      <c r="I33" t="s">
        <v>23</v>
      </c>
      <c r="J33" t="s">
        <v>7</v>
      </c>
      <c r="K33" t="str">
        <f t="shared" si="0"/>
        <v>Urban2013November</v>
      </c>
      <c r="L33" s="2">
        <v>61.185559980696212</v>
      </c>
    </row>
    <row r="34" spans="1:12" x14ac:dyDescent="0.25">
      <c r="A34" s="1" t="s">
        <v>11</v>
      </c>
      <c r="B34" s="1">
        <v>2013</v>
      </c>
      <c r="C34" s="1" t="s">
        <v>23</v>
      </c>
      <c r="D34" s="1" t="s">
        <v>8</v>
      </c>
      <c r="E34" s="1">
        <v>61.258190420870442</v>
      </c>
      <c r="G34" t="s">
        <v>11</v>
      </c>
      <c r="H34">
        <v>2013</v>
      </c>
      <c r="I34" t="s">
        <v>23</v>
      </c>
      <c r="J34" t="s">
        <v>8</v>
      </c>
      <c r="K34" t="str">
        <f t="shared" si="0"/>
        <v>Combined2013November</v>
      </c>
      <c r="L34" s="2">
        <v>61.258190420870442</v>
      </c>
    </row>
    <row r="35" spans="1:12" x14ac:dyDescent="0.25">
      <c r="A35" s="1" t="s">
        <v>11</v>
      </c>
      <c r="B35" s="1">
        <v>2013</v>
      </c>
      <c r="C35" s="1" t="s">
        <v>24</v>
      </c>
      <c r="D35" s="1" t="s">
        <v>6</v>
      </c>
      <c r="E35" s="1">
        <v>60.31584216528735</v>
      </c>
      <c r="G35" t="s">
        <v>11</v>
      </c>
      <c r="H35">
        <v>2013</v>
      </c>
      <c r="I35" t="s">
        <v>24</v>
      </c>
      <c r="J35" t="s">
        <v>6</v>
      </c>
      <c r="K35" t="str">
        <f t="shared" si="0"/>
        <v>Rural2013December</v>
      </c>
      <c r="L35" s="2">
        <v>60.31584216528735</v>
      </c>
    </row>
    <row r="36" spans="1:12" x14ac:dyDescent="0.25">
      <c r="A36" s="1" t="s">
        <v>11</v>
      </c>
      <c r="B36" s="1">
        <v>2013</v>
      </c>
      <c r="C36" s="1" t="s">
        <v>24</v>
      </c>
      <c r="D36" s="1" t="s">
        <v>7</v>
      </c>
      <c r="E36" s="1">
        <v>60.281077789677227</v>
      </c>
      <c r="G36" t="s">
        <v>11</v>
      </c>
      <c r="H36">
        <v>2013</v>
      </c>
      <c r="I36" t="s">
        <v>24</v>
      </c>
      <c r="J36" t="s">
        <v>7</v>
      </c>
      <c r="K36" t="str">
        <f t="shared" si="0"/>
        <v>Urban2013December</v>
      </c>
      <c r="L36" s="2">
        <v>60.281077789677227</v>
      </c>
    </row>
    <row r="37" spans="1:12" x14ac:dyDescent="0.25">
      <c r="A37" s="1" t="s">
        <v>11</v>
      </c>
      <c r="B37" s="1">
        <v>2013</v>
      </c>
      <c r="C37" s="1" t="s">
        <v>24</v>
      </c>
      <c r="D37" s="1" t="s">
        <v>8</v>
      </c>
      <c r="E37" s="1">
        <v>60.310084292258516</v>
      </c>
      <c r="G37" t="s">
        <v>11</v>
      </c>
      <c r="H37">
        <v>2013</v>
      </c>
      <c r="I37" t="s">
        <v>24</v>
      </c>
      <c r="J37" t="s">
        <v>8</v>
      </c>
      <c r="K37" t="str">
        <f t="shared" si="0"/>
        <v>Combined2013December</v>
      </c>
      <c r="L37" s="2">
        <v>60.310084292258516</v>
      </c>
    </row>
    <row r="38" spans="1:12" x14ac:dyDescent="0.25">
      <c r="A38" s="1" t="s">
        <v>11</v>
      </c>
      <c r="B38" s="1">
        <v>2014</v>
      </c>
      <c r="C38" s="1" t="s">
        <v>10</v>
      </c>
      <c r="D38" s="1" t="s">
        <v>6</v>
      </c>
      <c r="E38" s="1">
        <v>59.636962556500563</v>
      </c>
      <c r="G38" t="s">
        <v>11</v>
      </c>
      <c r="H38">
        <v>2014</v>
      </c>
      <c r="I38" t="s">
        <v>10</v>
      </c>
      <c r="J38" t="s">
        <v>6</v>
      </c>
      <c r="K38" t="str">
        <f t="shared" si="0"/>
        <v>Rural2014January</v>
      </c>
      <c r="L38" s="2">
        <v>59.636962556500563</v>
      </c>
    </row>
    <row r="39" spans="1:12" x14ac:dyDescent="0.25">
      <c r="A39" s="1" t="s">
        <v>11</v>
      </c>
      <c r="B39" s="1">
        <v>2014</v>
      </c>
      <c r="C39" s="1" t="s">
        <v>10</v>
      </c>
      <c r="D39" s="1" t="s">
        <v>7</v>
      </c>
      <c r="E39" s="1">
        <v>60.068258450613939</v>
      </c>
      <c r="G39" t="s">
        <v>11</v>
      </c>
      <c r="H39">
        <v>2014</v>
      </c>
      <c r="I39" t="s">
        <v>10</v>
      </c>
      <c r="J39" t="s">
        <v>7</v>
      </c>
      <c r="K39" t="str">
        <f t="shared" si="0"/>
        <v>Urban2014January</v>
      </c>
      <c r="L39" s="2">
        <v>60.068258450613939</v>
      </c>
    </row>
    <row r="40" spans="1:12" x14ac:dyDescent="0.25">
      <c r="A40" s="1" t="s">
        <v>11</v>
      </c>
      <c r="B40" s="1">
        <v>2014</v>
      </c>
      <c r="C40" s="1" t="s">
        <v>10</v>
      </c>
      <c r="D40" s="1" t="s">
        <v>8</v>
      </c>
      <c r="E40" s="1">
        <v>59.836031227952553</v>
      </c>
      <c r="G40" t="s">
        <v>11</v>
      </c>
      <c r="H40">
        <v>2014</v>
      </c>
      <c r="I40" t="s">
        <v>10</v>
      </c>
      <c r="J40" t="s">
        <v>8</v>
      </c>
      <c r="K40" t="str">
        <f t="shared" si="0"/>
        <v>Combined2014January</v>
      </c>
      <c r="L40" s="2">
        <v>59.836031227952553</v>
      </c>
    </row>
    <row r="41" spans="1:12" x14ac:dyDescent="0.25">
      <c r="A41" s="1" t="s">
        <v>11</v>
      </c>
      <c r="B41" s="1">
        <v>2014</v>
      </c>
      <c r="C41" s="1" t="s">
        <v>14</v>
      </c>
      <c r="D41" s="1" t="s">
        <v>6</v>
      </c>
      <c r="E41" s="1">
        <v>59.532519539764138</v>
      </c>
      <c r="G41" t="s">
        <v>11</v>
      </c>
      <c r="H41">
        <v>2014</v>
      </c>
      <c r="I41" t="s">
        <v>14</v>
      </c>
      <c r="J41" t="s">
        <v>6</v>
      </c>
      <c r="K41" t="str">
        <f t="shared" si="0"/>
        <v>Rural2014February</v>
      </c>
      <c r="L41" s="2">
        <v>59.532519539764138</v>
      </c>
    </row>
    <row r="42" spans="1:12" x14ac:dyDescent="0.25">
      <c r="A42" s="1" t="s">
        <v>11</v>
      </c>
      <c r="B42" s="1">
        <v>2014</v>
      </c>
      <c r="C42" s="1" t="s">
        <v>14</v>
      </c>
      <c r="D42" s="1" t="s">
        <v>7</v>
      </c>
      <c r="E42" s="1">
        <v>60.174668120145576</v>
      </c>
      <c r="G42" t="s">
        <v>11</v>
      </c>
      <c r="H42">
        <v>2014</v>
      </c>
      <c r="I42" t="s">
        <v>14</v>
      </c>
      <c r="J42" t="s">
        <v>7</v>
      </c>
      <c r="K42" t="str">
        <f t="shared" si="0"/>
        <v>Urban2014February</v>
      </c>
      <c r="L42" s="2">
        <v>60.174668120145576</v>
      </c>
    </row>
    <row r="43" spans="1:12" x14ac:dyDescent="0.25">
      <c r="A43" s="1" t="s">
        <v>11</v>
      </c>
      <c r="B43" s="1">
        <v>2014</v>
      </c>
      <c r="C43" s="1" t="s">
        <v>14</v>
      </c>
      <c r="D43" s="1" t="s">
        <v>8</v>
      </c>
      <c r="E43" s="1">
        <v>59.836031227952553</v>
      </c>
      <c r="G43" t="s">
        <v>11</v>
      </c>
      <c r="H43">
        <v>2014</v>
      </c>
      <c r="I43" t="s">
        <v>14</v>
      </c>
      <c r="J43" t="s">
        <v>8</v>
      </c>
      <c r="K43" t="str">
        <f t="shared" si="0"/>
        <v>Combined2014February</v>
      </c>
      <c r="L43" s="2">
        <v>59.836031227952553</v>
      </c>
    </row>
    <row r="44" spans="1:12" x14ac:dyDescent="0.25">
      <c r="A44" s="1" t="s">
        <v>11</v>
      </c>
      <c r="B44" s="1">
        <v>2014</v>
      </c>
      <c r="C44" s="1" t="s">
        <v>15</v>
      </c>
      <c r="D44" s="1" t="s">
        <v>6</v>
      </c>
      <c r="E44" s="1">
        <v>59.845848589973414</v>
      </c>
      <c r="G44" t="s">
        <v>11</v>
      </c>
      <c r="H44">
        <v>2014</v>
      </c>
      <c r="I44" t="s">
        <v>15</v>
      </c>
      <c r="J44" t="s">
        <v>6</v>
      </c>
      <c r="K44" t="str">
        <f t="shared" si="0"/>
        <v>Rural2014March</v>
      </c>
      <c r="L44" s="2">
        <v>59.845848589973414</v>
      </c>
    </row>
    <row r="45" spans="1:12" x14ac:dyDescent="0.25">
      <c r="A45" s="1" t="s">
        <v>11</v>
      </c>
      <c r="B45" s="1">
        <v>2014</v>
      </c>
      <c r="C45" s="1" t="s">
        <v>15</v>
      </c>
      <c r="D45" s="1" t="s">
        <v>7</v>
      </c>
      <c r="E45" s="1">
        <v>60.493897128740521</v>
      </c>
      <c r="G45" t="s">
        <v>11</v>
      </c>
      <c r="H45">
        <v>2014</v>
      </c>
      <c r="I45" t="s">
        <v>15</v>
      </c>
      <c r="J45" t="s">
        <v>7</v>
      </c>
      <c r="K45" t="str">
        <f t="shared" si="0"/>
        <v>Urban2014March</v>
      </c>
      <c r="L45" s="2">
        <v>60.493897128740521</v>
      </c>
    </row>
    <row r="46" spans="1:12" x14ac:dyDescent="0.25">
      <c r="A46" s="1" t="s">
        <v>11</v>
      </c>
      <c r="B46" s="1">
        <v>2014</v>
      </c>
      <c r="C46" s="1" t="s">
        <v>15</v>
      </c>
      <c r="D46" s="1" t="s">
        <v>8</v>
      </c>
      <c r="E46" s="1">
        <v>60.152066604156531</v>
      </c>
      <c r="G46" t="s">
        <v>11</v>
      </c>
      <c r="H46">
        <v>2014</v>
      </c>
      <c r="I46" t="s">
        <v>15</v>
      </c>
      <c r="J46" t="s">
        <v>8</v>
      </c>
      <c r="K46" t="str">
        <f t="shared" si="0"/>
        <v>Combined2014March</v>
      </c>
      <c r="L46" s="2">
        <v>60.152066604156531</v>
      </c>
    </row>
    <row r="47" spans="1:12" x14ac:dyDescent="0.25">
      <c r="A47" s="1" t="s">
        <v>11</v>
      </c>
      <c r="B47" s="1">
        <v>2014</v>
      </c>
      <c r="C47" s="1" t="s">
        <v>16</v>
      </c>
      <c r="D47" s="1" t="s">
        <v>6</v>
      </c>
      <c r="E47" s="1">
        <v>60.263620656919137</v>
      </c>
      <c r="G47" t="s">
        <v>11</v>
      </c>
      <c r="H47">
        <v>2014</v>
      </c>
      <c r="I47" t="s">
        <v>16</v>
      </c>
      <c r="J47" t="s">
        <v>6</v>
      </c>
      <c r="K47" t="str">
        <f t="shared" si="0"/>
        <v>Rural2014April</v>
      </c>
      <c r="L47" s="2">
        <v>60.263620656919137</v>
      </c>
    </row>
    <row r="48" spans="1:12" x14ac:dyDescent="0.25">
      <c r="A48" s="1" t="s">
        <v>11</v>
      </c>
      <c r="B48" s="1">
        <v>2014</v>
      </c>
      <c r="C48" s="1" t="s">
        <v>16</v>
      </c>
      <c r="D48" s="1" t="s">
        <v>7</v>
      </c>
      <c r="E48" s="1">
        <v>61.025945476398746</v>
      </c>
      <c r="G48" t="s">
        <v>11</v>
      </c>
      <c r="H48">
        <v>2014</v>
      </c>
      <c r="I48" t="s">
        <v>16</v>
      </c>
      <c r="J48" t="s">
        <v>7</v>
      </c>
      <c r="K48" t="str">
        <f t="shared" si="0"/>
        <v>Urban2014April</v>
      </c>
      <c r="L48" s="2">
        <v>61.025945476398746</v>
      </c>
    </row>
    <row r="49" spans="1:12" x14ac:dyDescent="0.25">
      <c r="A49" s="1" t="s">
        <v>11</v>
      </c>
      <c r="B49" s="1">
        <v>2014</v>
      </c>
      <c r="C49" s="1" t="s">
        <v>16</v>
      </c>
      <c r="D49" s="1" t="s">
        <v>8</v>
      </c>
      <c r="E49" s="1">
        <v>60.626119668462493</v>
      </c>
      <c r="G49" t="s">
        <v>11</v>
      </c>
      <c r="H49">
        <v>2014</v>
      </c>
      <c r="I49" t="s">
        <v>16</v>
      </c>
      <c r="J49" t="s">
        <v>8</v>
      </c>
      <c r="K49" t="str">
        <f t="shared" si="0"/>
        <v>Combined2014April</v>
      </c>
      <c r="L49" s="2">
        <v>60.626119668462493</v>
      </c>
    </row>
    <row r="50" spans="1:12" x14ac:dyDescent="0.25">
      <c r="A50" s="1" t="s">
        <v>11</v>
      </c>
      <c r="B50" s="1">
        <v>2014</v>
      </c>
      <c r="C50" s="1" t="s">
        <v>17</v>
      </c>
      <c r="D50" s="1" t="s">
        <v>6</v>
      </c>
      <c r="E50" s="1">
        <v>60.576949707128421</v>
      </c>
      <c r="G50" t="s">
        <v>11</v>
      </c>
      <c r="H50">
        <v>2014</v>
      </c>
      <c r="I50" t="s">
        <v>17</v>
      </c>
      <c r="J50" t="s">
        <v>6</v>
      </c>
      <c r="K50" t="str">
        <f t="shared" si="0"/>
        <v>Rural2014May</v>
      </c>
      <c r="L50" s="2">
        <v>60.576949707128421</v>
      </c>
    </row>
    <row r="51" spans="1:12" x14ac:dyDescent="0.25">
      <c r="A51" s="1" t="s">
        <v>11</v>
      </c>
      <c r="B51" s="1">
        <v>2014</v>
      </c>
      <c r="C51" s="1" t="s">
        <v>17</v>
      </c>
      <c r="D51" s="1" t="s">
        <v>7</v>
      </c>
      <c r="E51" s="1">
        <v>61.50478898929115</v>
      </c>
      <c r="G51" t="s">
        <v>11</v>
      </c>
      <c r="H51">
        <v>2014</v>
      </c>
      <c r="I51" t="s">
        <v>17</v>
      </c>
      <c r="J51" t="s">
        <v>7</v>
      </c>
      <c r="K51" t="str">
        <f t="shared" si="0"/>
        <v>Urban2014May</v>
      </c>
      <c r="L51" s="2">
        <v>61.50478898929115</v>
      </c>
    </row>
    <row r="52" spans="1:12" x14ac:dyDescent="0.25">
      <c r="A52" s="1" t="s">
        <v>11</v>
      </c>
      <c r="B52" s="1">
        <v>2014</v>
      </c>
      <c r="C52" s="1" t="s">
        <v>17</v>
      </c>
      <c r="D52" s="1" t="s">
        <v>8</v>
      </c>
      <c r="E52" s="1">
        <v>60.994827607367128</v>
      </c>
      <c r="G52" t="s">
        <v>11</v>
      </c>
      <c r="H52">
        <v>2014</v>
      </c>
      <c r="I52" t="s">
        <v>17</v>
      </c>
      <c r="J52" t="s">
        <v>8</v>
      </c>
      <c r="K52" t="str">
        <f t="shared" si="0"/>
        <v>Combined2014May</v>
      </c>
      <c r="L52" s="2">
        <v>60.994827607367128</v>
      </c>
    </row>
    <row r="53" spans="1:12" x14ac:dyDescent="0.25">
      <c r="A53" s="1" t="s">
        <v>11</v>
      </c>
      <c r="B53" s="1">
        <v>2014</v>
      </c>
      <c r="C53" s="1" t="s">
        <v>18</v>
      </c>
      <c r="D53" s="1" t="s">
        <v>6</v>
      </c>
      <c r="E53" s="1">
        <v>61.099164790810562</v>
      </c>
      <c r="G53" t="s">
        <v>11</v>
      </c>
      <c r="H53">
        <v>2014</v>
      </c>
      <c r="I53" t="s">
        <v>18</v>
      </c>
      <c r="J53" t="s">
        <v>6</v>
      </c>
      <c r="K53" t="str">
        <f t="shared" si="0"/>
        <v>Rural2014June</v>
      </c>
      <c r="L53" s="2">
        <v>61.099164790810562</v>
      </c>
    </row>
    <row r="54" spans="1:12" x14ac:dyDescent="0.25">
      <c r="A54" s="1" t="s">
        <v>11</v>
      </c>
      <c r="B54" s="1">
        <v>2014</v>
      </c>
      <c r="C54" s="1" t="s">
        <v>18</v>
      </c>
      <c r="D54" s="1" t="s">
        <v>7</v>
      </c>
      <c r="E54" s="1">
        <v>61.930427667417739</v>
      </c>
      <c r="G54" t="s">
        <v>11</v>
      </c>
      <c r="H54">
        <v>2014</v>
      </c>
      <c r="I54" t="s">
        <v>18</v>
      </c>
      <c r="J54" t="s">
        <v>7</v>
      </c>
      <c r="K54" t="str">
        <f t="shared" si="0"/>
        <v>Urban2014June</v>
      </c>
      <c r="L54" s="2">
        <v>61.930427667417739</v>
      </c>
    </row>
    <row r="55" spans="1:12" x14ac:dyDescent="0.25">
      <c r="A55" s="1" t="s">
        <v>11</v>
      </c>
      <c r="B55" s="1">
        <v>2014</v>
      </c>
      <c r="C55" s="1" t="s">
        <v>18</v>
      </c>
      <c r="D55" s="1" t="s">
        <v>8</v>
      </c>
      <c r="E55" s="1">
        <v>61.468880671673098</v>
      </c>
      <c r="G55" t="s">
        <v>11</v>
      </c>
      <c r="H55">
        <v>2014</v>
      </c>
      <c r="I55" t="s">
        <v>18</v>
      </c>
      <c r="J55" t="s">
        <v>8</v>
      </c>
      <c r="K55" t="str">
        <f t="shared" si="0"/>
        <v>Combined2014June</v>
      </c>
      <c r="L55" s="2">
        <v>61.468880671673098</v>
      </c>
    </row>
    <row r="56" spans="1:12" x14ac:dyDescent="0.25">
      <c r="A56" s="1" t="s">
        <v>11</v>
      </c>
      <c r="B56" s="1">
        <v>2014</v>
      </c>
      <c r="C56" s="1" t="s">
        <v>19</v>
      </c>
      <c r="D56" s="1" t="s">
        <v>6</v>
      </c>
      <c r="E56" s="1">
        <v>62.404702500015915</v>
      </c>
      <c r="G56" t="s">
        <v>11</v>
      </c>
      <c r="H56">
        <v>2014</v>
      </c>
      <c r="I56" t="s">
        <v>19</v>
      </c>
      <c r="J56" t="s">
        <v>6</v>
      </c>
      <c r="K56" t="str">
        <f t="shared" si="0"/>
        <v>Rural2014July</v>
      </c>
      <c r="L56" s="2">
        <v>62.404702500015915</v>
      </c>
    </row>
    <row r="57" spans="1:12" x14ac:dyDescent="0.25">
      <c r="A57" s="1" t="s">
        <v>11</v>
      </c>
      <c r="B57" s="1">
        <v>2014</v>
      </c>
      <c r="C57" s="1" t="s">
        <v>19</v>
      </c>
      <c r="D57" s="1" t="s">
        <v>7</v>
      </c>
      <c r="E57" s="1">
        <v>63.260548536563306</v>
      </c>
      <c r="G57" t="s">
        <v>11</v>
      </c>
      <c r="H57">
        <v>2014</v>
      </c>
      <c r="I57" t="s">
        <v>19</v>
      </c>
      <c r="J57" t="s">
        <v>7</v>
      </c>
      <c r="K57" t="str">
        <f t="shared" si="0"/>
        <v>Urban2014July</v>
      </c>
      <c r="L57" s="2">
        <v>63.260548536563306</v>
      </c>
    </row>
    <row r="58" spans="1:12" x14ac:dyDescent="0.25">
      <c r="A58" s="1" t="s">
        <v>11</v>
      </c>
      <c r="B58" s="1">
        <v>2014</v>
      </c>
      <c r="C58" s="1" t="s">
        <v>19</v>
      </c>
      <c r="D58" s="1" t="s">
        <v>8</v>
      </c>
      <c r="E58" s="1">
        <v>62.785694739189658</v>
      </c>
      <c r="G58" t="s">
        <v>11</v>
      </c>
      <c r="H58">
        <v>2014</v>
      </c>
      <c r="I58" t="s">
        <v>19</v>
      </c>
      <c r="J58" t="s">
        <v>8</v>
      </c>
      <c r="K58" t="str">
        <f t="shared" si="0"/>
        <v>Combined2014July</v>
      </c>
      <c r="L58" s="2">
        <v>62.785694739189658</v>
      </c>
    </row>
    <row r="59" spans="1:12" x14ac:dyDescent="0.25">
      <c r="A59" s="1" t="s">
        <v>11</v>
      </c>
      <c r="B59" s="1">
        <v>2014</v>
      </c>
      <c r="C59" s="1" t="s">
        <v>20</v>
      </c>
      <c r="D59" s="1" t="s">
        <v>6</v>
      </c>
      <c r="E59" s="1">
        <v>63.031360600434482</v>
      </c>
      <c r="G59" t="s">
        <v>11</v>
      </c>
      <c r="H59">
        <v>2014</v>
      </c>
      <c r="I59" t="s">
        <v>20</v>
      </c>
      <c r="J59" t="s">
        <v>6</v>
      </c>
      <c r="K59" t="str">
        <f t="shared" si="0"/>
        <v>Rural2014August</v>
      </c>
      <c r="L59" s="2">
        <v>63.031360600434482</v>
      </c>
    </row>
    <row r="60" spans="1:12" x14ac:dyDescent="0.25">
      <c r="A60" s="1" t="s">
        <v>11</v>
      </c>
      <c r="B60" s="1">
        <v>2014</v>
      </c>
      <c r="C60" s="1" t="s">
        <v>20</v>
      </c>
      <c r="D60" s="1" t="s">
        <v>7</v>
      </c>
      <c r="E60" s="1">
        <v>63.792596884221531</v>
      </c>
      <c r="G60" t="s">
        <v>11</v>
      </c>
      <c r="H60">
        <v>2014</v>
      </c>
      <c r="I60" t="s">
        <v>20</v>
      </c>
      <c r="J60" t="s">
        <v>7</v>
      </c>
      <c r="K60" t="str">
        <f t="shared" si="0"/>
        <v>Urban2014August</v>
      </c>
      <c r="L60" s="2">
        <v>63.792596884221531</v>
      </c>
    </row>
    <row r="61" spans="1:12" x14ac:dyDescent="0.25">
      <c r="A61" s="1" t="s">
        <v>11</v>
      </c>
      <c r="B61" s="1">
        <v>2014</v>
      </c>
      <c r="C61" s="1" t="s">
        <v>20</v>
      </c>
      <c r="D61" s="1" t="s">
        <v>8</v>
      </c>
      <c r="E61" s="1">
        <v>63.365092928896942</v>
      </c>
      <c r="G61" t="s">
        <v>11</v>
      </c>
      <c r="H61">
        <v>2014</v>
      </c>
      <c r="I61" t="s">
        <v>20</v>
      </c>
      <c r="J61" t="s">
        <v>8</v>
      </c>
      <c r="K61" t="str">
        <f t="shared" si="0"/>
        <v>Combined2014August</v>
      </c>
      <c r="L61" s="2">
        <v>63.365092928896942</v>
      </c>
    </row>
    <row r="62" spans="1:12" x14ac:dyDescent="0.25">
      <c r="A62" s="1" t="s">
        <v>11</v>
      </c>
      <c r="B62" s="1">
        <v>2014</v>
      </c>
      <c r="C62" s="1" t="s">
        <v>21</v>
      </c>
      <c r="D62" s="1" t="s">
        <v>6</v>
      </c>
      <c r="E62" s="1">
        <v>63.135803617170914</v>
      </c>
      <c r="G62" t="s">
        <v>11</v>
      </c>
      <c r="H62">
        <v>2014</v>
      </c>
      <c r="I62" t="s">
        <v>21</v>
      </c>
      <c r="J62" t="s">
        <v>6</v>
      </c>
      <c r="K62" t="str">
        <f t="shared" si="0"/>
        <v>Rural2014September</v>
      </c>
      <c r="L62" s="2">
        <v>63.135803617170914</v>
      </c>
    </row>
    <row r="63" spans="1:12" x14ac:dyDescent="0.25">
      <c r="A63" s="1" t="s">
        <v>11</v>
      </c>
      <c r="B63" s="1">
        <v>2014</v>
      </c>
      <c r="C63" s="1" t="s">
        <v>21</v>
      </c>
      <c r="D63" s="1" t="s">
        <v>7</v>
      </c>
      <c r="E63" s="1">
        <v>63.420163040860771</v>
      </c>
      <c r="G63" t="s">
        <v>11</v>
      </c>
      <c r="H63">
        <v>2014</v>
      </c>
      <c r="I63" t="s">
        <v>21</v>
      </c>
      <c r="J63" t="s">
        <v>7</v>
      </c>
      <c r="K63" t="str">
        <f t="shared" si="0"/>
        <v>Urban2014September</v>
      </c>
      <c r="L63" s="2">
        <v>63.420163040860771</v>
      </c>
    </row>
    <row r="64" spans="1:12" x14ac:dyDescent="0.25">
      <c r="A64" s="1" t="s">
        <v>11</v>
      </c>
      <c r="B64" s="1">
        <v>2014</v>
      </c>
      <c r="C64" s="1" t="s">
        <v>21</v>
      </c>
      <c r="D64" s="1" t="s">
        <v>8</v>
      </c>
      <c r="E64" s="1">
        <v>63.259747803495614</v>
      </c>
      <c r="G64" t="s">
        <v>11</v>
      </c>
      <c r="H64">
        <v>2014</v>
      </c>
      <c r="I64" t="s">
        <v>21</v>
      </c>
      <c r="J64" t="s">
        <v>8</v>
      </c>
      <c r="K64" t="str">
        <f t="shared" si="0"/>
        <v>Combined2014September</v>
      </c>
      <c r="L64" s="2">
        <v>63.259747803495614</v>
      </c>
    </row>
    <row r="65" spans="1:12" x14ac:dyDescent="0.25">
      <c r="A65" s="1" t="s">
        <v>11</v>
      </c>
      <c r="B65" s="1">
        <v>2014</v>
      </c>
      <c r="C65" s="1" t="s">
        <v>22</v>
      </c>
      <c r="D65" s="1" t="s">
        <v>6</v>
      </c>
      <c r="E65" s="1">
        <v>63.188025125539127</v>
      </c>
      <c r="G65" t="s">
        <v>11</v>
      </c>
      <c r="H65">
        <v>2014</v>
      </c>
      <c r="I65" t="s">
        <v>22</v>
      </c>
      <c r="J65" t="s">
        <v>6</v>
      </c>
      <c r="K65" t="str">
        <f t="shared" si="0"/>
        <v>Rural2014October</v>
      </c>
      <c r="L65" s="2">
        <v>63.188025125539127</v>
      </c>
    </row>
    <row r="66" spans="1:12" x14ac:dyDescent="0.25">
      <c r="A66" s="1" t="s">
        <v>11</v>
      </c>
      <c r="B66" s="1">
        <v>2014</v>
      </c>
      <c r="C66" s="1" t="s">
        <v>22</v>
      </c>
      <c r="D66" s="1" t="s">
        <v>7</v>
      </c>
      <c r="E66" s="1">
        <v>63.366958206094942</v>
      </c>
      <c r="G66" t="s">
        <v>11</v>
      </c>
      <c r="H66">
        <v>2014</v>
      </c>
      <c r="I66" t="s">
        <v>22</v>
      </c>
      <c r="J66" t="s">
        <v>7</v>
      </c>
      <c r="K66" t="str">
        <f t="shared" si="0"/>
        <v>Urban2014October</v>
      </c>
      <c r="L66" s="2">
        <v>63.366958206094942</v>
      </c>
    </row>
    <row r="67" spans="1:12" x14ac:dyDescent="0.25">
      <c r="A67" s="1" t="s">
        <v>11</v>
      </c>
      <c r="B67" s="1">
        <v>2014</v>
      </c>
      <c r="C67" s="1" t="s">
        <v>22</v>
      </c>
      <c r="D67" s="1" t="s">
        <v>8</v>
      </c>
      <c r="E67" s="1">
        <v>63.259747803495614</v>
      </c>
      <c r="G67" t="s">
        <v>11</v>
      </c>
      <c r="H67">
        <v>2014</v>
      </c>
      <c r="I67" t="s">
        <v>22</v>
      </c>
      <c r="J67" t="s">
        <v>8</v>
      </c>
      <c r="K67" t="str">
        <f t="shared" ref="K67:K130" si="1">CONCATENATE(J67,H67,I67)</f>
        <v>Combined2014October</v>
      </c>
      <c r="L67" s="2">
        <v>63.259747803495614</v>
      </c>
    </row>
    <row r="68" spans="1:12" x14ac:dyDescent="0.25">
      <c r="A68" s="1" t="s">
        <v>11</v>
      </c>
      <c r="B68" s="1">
        <v>2014</v>
      </c>
      <c r="C68" s="1" t="s">
        <v>23</v>
      </c>
      <c r="D68" s="1" t="s">
        <v>6</v>
      </c>
      <c r="E68" s="1">
        <v>63.24024663390734</v>
      </c>
      <c r="G68" t="s">
        <v>11</v>
      </c>
      <c r="H68">
        <v>2014</v>
      </c>
      <c r="I68" t="s">
        <v>23</v>
      </c>
      <c r="J68" t="s">
        <v>6</v>
      </c>
      <c r="K68" t="str">
        <f t="shared" si="1"/>
        <v>Rural2014November</v>
      </c>
      <c r="L68" s="2">
        <v>63.24024663390734</v>
      </c>
    </row>
    <row r="69" spans="1:12" x14ac:dyDescent="0.25">
      <c r="A69" s="1" t="s">
        <v>11</v>
      </c>
      <c r="B69" s="1">
        <v>2014</v>
      </c>
      <c r="C69" s="1" t="s">
        <v>23</v>
      </c>
      <c r="D69" s="1" t="s">
        <v>7</v>
      </c>
      <c r="E69" s="1">
        <v>63.313753371329128</v>
      </c>
      <c r="G69" t="s">
        <v>11</v>
      </c>
      <c r="H69">
        <v>2014</v>
      </c>
      <c r="I69" t="s">
        <v>23</v>
      </c>
      <c r="J69" t="s">
        <v>7</v>
      </c>
      <c r="K69" t="str">
        <f t="shared" si="1"/>
        <v>Urban2014November</v>
      </c>
      <c r="L69" s="2">
        <v>63.313753371329128</v>
      </c>
    </row>
    <row r="70" spans="1:12" x14ac:dyDescent="0.25">
      <c r="A70" s="1" t="s">
        <v>11</v>
      </c>
      <c r="B70" s="1">
        <v>2014</v>
      </c>
      <c r="C70" s="1" t="s">
        <v>23</v>
      </c>
      <c r="D70" s="1" t="s">
        <v>8</v>
      </c>
      <c r="E70" s="1">
        <v>63.259747803495614</v>
      </c>
      <c r="G70" t="s">
        <v>11</v>
      </c>
      <c r="H70">
        <v>2014</v>
      </c>
      <c r="I70" t="s">
        <v>23</v>
      </c>
      <c r="J70" t="s">
        <v>8</v>
      </c>
      <c r="K70" t="str">
        <f t="shared" si="1"/>
        <v>Combined2014November</v>
      </c>
      <c r="L70" s="2">
        <v>63.259747803495614</v>
      </c>
    </row>
    <row r="71" spans="1:12" x14ac:dyDescent="0.25">
      <c r="A71" s="1" t="s">
        <v>11</v>
      </c>
      <c r="B71" s="1">
        <v>2014</v>
      </c>
      <c r="C71" s="1" t="s">
        <v>24</v>
      </c>
      <c r="D71" s="1" t="s">
        <v>6</v>
      </c>
      <c r="E71" s="1">
        <v>62.822474566961624</v>
      </c>
      <c r="G71" t="s">
        <v>11</v>
      </c>
      <c r="H71">
        <v>2014</v>
      </c>
      <c r="I71" t="s">
        <v>24</v>
      </c>
      <c r="J71" t="s">
        <v>6</v>
      </c>
      <c r="K71" t="str">
        <f t="shared" si="1"/>
        <v>Rural2014December</v>
      </c>
      <c r="L71" s="2">
        <v>62.822474566961624</v>
      </c>
    </row>
    <row r="72" spans="1:12" x14ac:dyDescent="0.25">
      <c r="A72" s="1" t="s">
        <v>11</v>
      </c>
      <c r="B72" s="1">
        <v>2014</v>
      </c>
      <c r="C72" s="1" t="s">
        <v>24</v>
      </c>
      <c r="D72" s="1" t="s">
        <v>7</v>
      </c>
      <c r="E72" s="1">
        <v>62.99452436273419</v>
      </c>
      <c r="G72" t="s">
        <v>11</v>
      </c>
      <c r="H72">
        <v>2014</v>
      </c>
      <c r="I72" t="s">
        <v>24</v>
      </c>
      <c r="J72" t="s">
        <v>7</v>
      </c>
      <c r="K72" t="str">
        <f t="shared" si="1"/>
        <v>Urban2014December</v>
      </c>
      <c r="L72" s="2">
        <v>62.99452436273419</v>
      </c>
    </row>
    <row r="73" spans="1:12" x14ac:dyDescent="0.25">
      <c r="A73" s="1" t="s">
        <v>11</v>
      </c>
      <c r="B73" s="1">
        <v>2014</v>
      </c>
      <c r="C73" s="1" t="s">
        <v>24</v>
      </c>
      <c r="D73" s="1" t="s">
        <v>8</v>
      </c>
      <c r="E73" s="1">
        <v>62.891039864590979</v>
      </c>
      <c r="G73" t="s">
        <v>11</v>
      </c>
      <c r="H73">
        <v>2014</v>
      </c>
      <c r="I73" t="s">
        <v>24</v>
      </c>
      <c r="J73" t="s">
        <v>8</v>
      </c>
      <c r="K73" t="str">
        <f t="shared" si="1"/>
        <v>Combined2014December</v>
      </c>
      <c r="L73" s="2">
        <v>62.891039864590979</v>
      </c>
    </row>
    <row r="74" spans="1:12" x14ac:dyDescent="0.25">
      <c r="A74" s="1" t="s">
        <v>11</v>
      </c>
      <c r="B74" s="1">
        <v>2015</v>
      </c>
      <c r="C74" s="1" t="s">
        <v>10</v>
      </c>
      <c r="D74" s="1" t="s">
        <v>6</v>
      </c>
      <c r="E74" s="1">
        <v>62.822474566961624</v>
      </c>
      <c r="G74" t="s">
        <v>11</v>
      </c>
      <c r="H74">
        <v>2015</v>
      </c>
      <c r="I74" t="s">
        <v>10</v>
      </c>
      <c r="J74" t="s">
        <v>6</v>
      </c>
      <c r="K74" t="str">
        <f t="shared" si="1"/>
        <v>Rural2015January</v>
      </c>
      <c r="L74" s="2">
        <v>62.822474566961624</v>
      </c>
    </row>
    <row r="75" spans="1:12" x14ac:dyDescent="0.25">
      <c r="A75" s="1" t="s">
        <v>11</v>
      </c>
      <c r="B75" s="1">
        <v>2015</v>
      </c>
      <c r="C75" s="1" t="s">
        <v>10</v>
      </c>
      <c r="D75" s="1" t="s">
        <v>7</v>
      </c>
      <c r="E75" s="1">
        <v>63.047729197500011</v>
      </c>
      <c r="G75" t="s">
        <v>11</v>
      </c>
      <c r="H75">
        <v>2015</v>
      </c>
      <c r="I75" t="s">
        <v>10</v>
      </c>
      <c r="J75" t="s">
        <v>7</v>
      </c>
      <c r="K75" t="str">
        <f t="shared" si="1"/>
        <v>Urban2015January</v>
      </c>
      <c r="L75" s="2">
        <v>63.047729197500011</v>
      </c>
    </row>
    <row r="76" spans="1:12" x14ac:dyDescent="0.25">
      <c r="A76" s="1" t="s">
        <v>11</v>
      </c>
      <c r="B76" s="1">
        <v>2015</v>
      </c>
      <c r="C76" s="1" t="s">
        <v>10</v>
      </c>
      <c r="D76" s="1" t="s">
        <v>8</v>
      </c>
      <c r="E76" s="1">
        <v>62.943712427291644</v>
      </c>
      <c r="G76" t="s">
        <v>11</v>
      </c>
      <c r="H76">
        <v>2015</v>
      </c>
      <c r="I76" t="s">
        <v>10</v>
      </c>
      <c r="J76" t="s">
        <v>8</v>
      </c>
      <c r="K76" t="str">
        <f t="shared" si="1"/>
        <v>Combined2015January</v>
      </c>
      <c r="L76" s="2">
        <v>62.943712427291644</v>
      </c>
    </row>
    <row r="77" spans="1:12" x14ac:dyDescent="0.25">
      <c r="A77" s="1" t="s">
        <v>11</v>
      </c>
      <c r="B77" s="1">
        <v>2015</v>
      </c>
      <c r="C77" s="1" t="s">
        <v>14</v>
      </c>
      <c r="D77" s="1" t="s">
        <v>6</v>
      </c>
      <c r="E77" s="1">
        <v>62.979139092066269</v>
      </c>
      <c r="G77" t="s">
        <v>11</v>
      </c>
      <c r="H77">
        <v>2015</v>
      </c>
      <c r="I77" t="s">
        <v>14</v>
      </c>
      <c r="J77" t="s">
        <v>6</v>
      </c>
      <c r="K77" t="str">
        <f t="shared" si="1"/>
        <v>Rural2015February</v>
      </c>
      <c r="L77" s="2">
        <v>62.979139092066269</v>
      </c>
    </row>
    <row r="78" spans="1:12" x14ac:dyDescent="0.25">
      <c r="A78" s="1" t="s">
        <v>11</v>
      </c>
      <c r="B78" s="1">
        <v>2015</v>
      </c>
      <c r="C78" s="1" t="s">
        <v>14</v>
      </c>
      <c r="D78" s="1" t="s">
        <v>7</v>
      </c>
      <c r="E78" s="1">
        <v>63.154138867031662</v>
      </c>
      <c r="G78" t="s">
        <v>11</v>
      </c>
      <c r="H78">
        <v>2015</v>
      </c>
      <c r="I78" t="s">
        <v>14</v>
      </c>
      <c r="J78" t="s">
        <v>7</v>
      </c>
      <c r="K78" t="str">
        <f t="shared" si="1"/>
        <v>Urban2015February</v>
      </c>
      <c r="L78" s="2">
        <v>63.154138867031662</v>
      </c>
    </row>
    <row r="79" spans="1:12" x14ac:dyDescent="0.25">
      <c r="A79" s="1" t="s">
        <v>11</v>
      </c>
      <c r="B79" s="1">
        <v>2015</v>
      </c>
      <c r="C79" s="1" t="s">
        <v>14</v>
      </c>
      <c r="D79" s="1" t="s">
        <v>8</v>
      </c>
      <c r="E79" s="1">
        <v>63.049057552692972</v>
      </c>
      <c r="G79" t="s">
        <v>11</v>
      </c>
      <c r="H79">
        <v>2015</v>
      </c>
      <c r="I79" t="s">
        <v>14</v>
      </c>
      <c r="J79" t="s">
        <v>8</v>
      </c>
      <c r="K79" t="str">
        <f t="shared" si="1"/>
        <v>Combined2015February</v>
      </c>
      <c r="L79" s="2">
        <v>63.049057552692972</v>
      </c>
    </row>
    <row r="80" spans="1:12" x14ac:dyDescent="0.25">
      <c r="A80" s="1" t="s">
        <v>11</v>
      </c>
      <c r="B80" s="1">
        <v>2015</v>
      </c>
      <c r="C80" s="1" t="s">
        <v>15</v>
      </c>
      <c r="D80" s="1" t="s">
        <v>6</v>
      </c>
      <c r="E80" s="1">
        <v>63.24024663390734</v>
      </c>
      <c r="G80" t="s">
        <v>11</v>
      </c>
      <c r="H80">
        <v>2015</v>
      </c>
      <c r="I80" t="s">
        <v>15</v>
      </c>
      <c r="J80" t="s">
        <v>6</v>
      </c>
      <c r="K80" t="str">
        <f t="shared" si="1"/>
        <v>Rural2015March</v>
      </c>
      <c r="L80" s="2">
        <v>63.24024663390734</v>
      </c>
    </row>
    <row r="81" spans="1:12" x14ac:dyDescent="0.25">
      <c r="A81" s="1" t="s">
        <v>11</v>
      </c>
      <c r="B81" s="1">
        <v>2015</v>
      </c>
      <c r="C81" s="1" t="s">
        <v>15</v>
      </c>
      <c r="D81" s="1" t="s">
        <v>7</v>
      </c>
      <c r="E81" s="1">
        <v>63.366958206094942</v>
      </c>
      <c r="G81" t="s">
        <v>11</v>
      </c>
      <c r="H81">
        <v>2015</v>
      </c>
      <c r="I81" t="s">
        <v>15</v>
      </c>
      <c r="J81" t="s">
        <v>7</v>
      </c>
      <c r="K81" t="str">
        <f t="shared" si="1"/>
        <v>Urban2015March</v>
      </c>
      <c r="L81" s="2">
        <v>63.366958206094942</v>
      </c>
    </row>
    <row r="82" spans="1:12" x14ac:dyDescent="0.25">
      <c r="A82" s="1" t="s">
        <v>11</v>
      </c>
      <c r="B82" s="1">
        <v>2015</v>
      </c>
      <c r="C82" s="1" t="s">
        <v>15</v>
      </c>
      <c r="D82" s="1" t="s">
        <v>8</v>
      </c>
      <c r="E82" s="1">
        <v>63.312420366196278</v>
      </c>
      <c r="G82" t="s">
        <v>11</v>
      </c>
      <c r="H82">
        <v>2015</v>
      </c>
      <c r="I82" t="s">
        <v>15</v>
      </c>
      <c r="J82" t="s">
        <v>8</v>
      </c>
      <c r="K82" t="str">
        <f t="shared" si="1"/>
        <v>Combined2015March</v>
      </c>
      <c r="L82" s="2">
        <v>63.312420366196278</v>
      </c>
    </row>
    <row r="83" spans="1:12" x14ac:dyDescent="0.25">
      <c r="A83" s="1" t="s">
        <v>11</v>
      </c>
      <c r="B83" s="1">
        <v>2015</v>
      </c>
      <c r="C83" s="1" t="s">
        <v>16</v>
      </c>
      <c r="D83" s="1" t="s">
        <v>6</v>
      </c>
      <c r="E83" s="1">
        <v>63.449132667380198</v>
      </c>
      <c r="G83" t="s">
        <v>11</v>
      </c>
      <c r="H83">
        <v>2015</v>
      </c>
      <c r="I83" t="s">
        <v>16</v>
      </c>
      <c r="J83" t="s">
        <v>6</v>
      </c>
      <c r="K83" t="str">
        <f t="shared" si="1"/>
        <v>Rural2015April</v>
      </c>
      <c r="L83" s="2">
        <v>63.449132667380198</v>
      </c>
    </row>
    <row r="84" spans="1:12" x14ac:dyDescent="0.25">
      <c r="A84" s="1" t="s">
        <v>11</v>
      </c>
      <c r="B84" s="1">
        <v>2015</v>
      </c>
      <c r="C84" s="1" t="s">
        <v>16</v>
      </c>
      <c r="D84" s="1" t="s">
        <v>7</v>
      </c>
      <c r="E84" s="1">
        <v>63.686187214689888</v>
      </c>
      <c r="G84" t="s">
        <v>11</v>
      </c>
      <c r="H84">
        <v>2015</v>
      </c>
      <c r="I84" t="s">
        <v>16</v>
      </c>
      <c r="J84" t="s">
        <v>7</v>
      </c>
      <c r="K84" t="str">
        <f t="shared" si="1"/>
        <v>Urban2015April</v>
      </c>
      <c r="L84" s="2">
        <v>63.686187214689888</v>
      </c>
    </row>
    <row r="85" spans="1:12" x14ac:dyDescent="0.25">
      <c r="A85" s="1" t="s">
        <v>11</v>
      </c>
      <c r="B85" s="1">
        <v>2015</v>
      </c>
      <c r="C85" s="1" t="s">
        <v>16</v>
      </c>
      <c r="D85" s="1" t="s">
        <v>8</v>
      </c>
      <c r="E85" s="1">
        <v>63.575783179699592</v>
      </c>
      <c r="G85" t="s">
        <v>11</v>
      </c>
      <c r="H85">
        <v>2015</v>
      </c>
      <c r="I85" t="s">
        <v>16</v>
      </c>
      <c r="J85" t="s">
        <v>8</v>
      </c>
      <c r="K85" t="str">
        <f t="shared" si="1"/>
        <v>Combined2015April</v>
      </c>
      <c r="L85" s="2">
        <v>63.575783179699592</v>
      </c>
    </row>
    <row r="86" spans="1:12" x14ac:dyDescent="0.25">
      <c r="A86" s="1" t="s">
        <v>11</v>
      </c>
      <c r="B86" s="1">
        <v>2015</v>
      </c>
      <c r="C86" s="1" t="s">
        <v>17</v>
      </c>
      <c r="D86" s="1" t="s">
        <v>6</v>
      </c>
      <c r="E86" s="1">
        <v>63.919126242694126</v>
      </c>
      <c r="G86" t="s">
        <v>11</v>
      </c>
      <c r="H86">
        <v>2015</v>
      </c>
      <c r="I86" t="s">
        <v>17</v>
      </c>
      <c r="J86" t="s">
        <v>6</v>
      </c>
      <c r="K86" t="str">
        <f t="shared" si="1"/>
        <v>Rural2015May</v>
      </c>
      <c r="L86" s="2">
        <v>63.919126242694126</v>
      </c>
    </row>
    <row r="87" spans="1:12" x14ac:dyDescent="0.25">
      <c r="A87" s="1" t="s">
        <v>11</v>
      </c>
      <c r="B87" s="1">
        <v>2015</v>
      </c>
      <c r="C87" s="1" t="s">
        <v>17</v>
      </c>
      <c r="D87" s="1" t="s">
        <v>7</v>
      </c>
      <c r="E87" s="1">
        <v>64.218235562348113</v>
      </c>
      <c r="G87" t="s">
        <v>11</v>
      </c>
      <c r="H87">
        <v>2015</v>
      </c>
      <c r="I87" t="s">
        <v>17</v>
      </c>
      <c r="J87" t="s">
        <v>7</v>
      </c>
      <c r="K87" t="str">
        <f t="shared" si="1"/>
        <v>Urban2015May</v>
      </c>
      <c r="L87" s="2">
        <v>64.218235562348113</v>
      </c>
    </row>
    <row r="88" spans="1:12" x14ac:dyDescent="0.25">
      <c r="A88" s="1" t="s">
        <v>11</v>
      </c>
      <c r="B88" s="1">
        <v>2015</v>
      </c>
      <c r="C88" s="1" t="s">
        <v>17</v>
      </c>
      <c r="D88" s="1" t="s">
        <v>8</v>
      </c>
      <c r="E88" s="1">
        <v>64.049836244005547</v>
      </c>
      <c r="G88" t="s">
        <v>11</v>
      </c>
      <c r="H88">
        <v>2015</v>
      </c>
      <c r="I88" t="s">
        <v>17</v>
      </c>
      <c r="J88" t="s">
        <v>8</v>
      </c>
      <c r="K88" t="str">
        <f t="shared" si="1"/>
        <v>Combined2015May</v>
      </c>
      <c r="L88" s="2">
        <v>64.049836244005547</v>
      </c>
    </row>
    <row r="89" spans="1:12" x14ac:dyDescent="0.25">
      <c r="A89" s="1" t="s">
        <v>11</v>
      </c>
      <c r="B89" s="1">
        <v>2015</v>
      </c>
      <c r="C89" s="1" t="s">
        <v>18</v>
      </c>
      <c r="D89" s="1" t="s">
        <v>6</v>
      </c>
      <c r="E89" s="1">
        <v>64.806891884953757</v>
      </c>
      <c r="G89" t="s">
        <v>11</v>
      </c>
      <c r="H89">
        <v>2015</v>
      </c>
      <c r="I89" t="s">
        <v>18</v>
      </c>
      <c r="J89" t="s">
        <v>6</v>
      </c>
      <c r="K89" t="str">
        <f t="shared" si="1"/>
        <v>Rural2015June</v>
      </c>
      <c r="L89" s="2">
        <v>64.806891884953757</v>
      </c>
    </row>
    <row r="90" spans="1:12" x14ac:dyDescent="0.25">
      <c r="A90" s="1" t="s">
        <v>11</v>
      </c>
      <c r="B90" s="1">
        <v>2015</v>
      </c>
      <c r="C90" s="1" t="s">
        <v>18</v>
      </c>
      <c r="D90" s="1" t="s">
        <v>7</v>
      </c>
      <c r="E90" s="1">
        <v>64.750283910006345</v>
      </c>
      <c r="G90" t="s">
        <v>11</v>
      </c>
      <c r="H90">
        <v>2015</v>
      </c>
      <c r="I90" t="s">
        <v>18</v>
      </c>
      <c r="J90" t="s">
        <v>7</v>
      </c>
      <c r="K90" t="str">
        <f t="shared" si="1"/>
        <v>Urban2015June</v>
      </c>
      <c r="L90" s="2">
        <v>64.750283910006345</v>
      </c>
    </row>
    <row r="91" spans="1:12" x14ac:dyDescent="0.25">
      <c r="A91" s="1" t="s">
        <v>11</v>
      </c>
      <c r="B91" s="1">
        <v>2015</v>
      </c>
      <c r="C91" s="1" t="s">
        <v>18</v>
      </c>
      <c r="D91" s="1" t="s">
        <v>8</v>
      </c>
      <c r="E91" s="1">
        <v>64.787252121814831</v>
      </c>
      <c r="G91" t="s">
        <v>11</v>
      </c>
      <c r="H91">
        <v>2015</v>
      </c>
      <c r="I91" t="s">
        <v>18</v>
      </c>
      <c r="J91" t="s">
        <v>8</v>
      </c>
      <c r="K91" t="str">
        <f t="shared" si="1"/>
        <v>Combined2015June</v>
      </c>
      <c r="L91" s="2">
        <v>64.787252121814831</v>
      </c>
    </row>
    <row r="92" spans="1:12" x14ac:dyDescent="0.25">
      <c r="A92" s="1" t="s">
        <v>11</v>
      </c>
      <c r="B92" s="1">
        <v>2015</v>
      </c>
      <c r="C92" s="1" t="s">
        <v>19</v>
      </c>
      <c r="D92" s="1" t="s">
        <v>6</v>
      </c>
      <c r="E92" s="1">
        <v>65.120220935163047</v>
      </c>
      <c r="G92" t="s">
        <v>11</v>
      </c>
      <c r="H92">
        <v>2015</v>
      </c>
      <c r="I92" t="s">
        <v>19</v>
      </c>
      <c r="J92" t="s">
        <v>6</v>
      </c>
      <c r="K92" t="str">
        <f t="shared" si="1"/>
        <v>Rural2015July</v>
      </c>
      <c r="L92" s="2">
        <v>65.120220935163047</v>
      </c>
    </row>
    <row r="93" spans="1:12" x14ac:dyDescent="0.25">
      <c r="A93" s="1" t="s">
        <v>11</v>
      </c>
      <c r="B93" s="1">
        <v>2015</v>
      </c>
      <c r="C93" s="1" t="s">
        <v>19</v>
      </c>
      <c r="D93" s="1" t="s">
        <v>7</v>
      </c>
      <c r="E93" s="1">
        <v>65.122717753367098</v>
      </c>
      <c r="G93" t="s">
        <v>11</v>
      </c>
      <c r="H93">
        <v>2015</v>
      </c>
      <c r="I93" t="s">
        <v>19</v>
      </c>
      <c r="J93" t="s">
        <v>7</v>
      </c>
      <c r="K93" t="str">
        <f t="shared" si="1"/>
        <v>Urban2015July</v>
      </c>
      <c r="L93" s="2">
        <v>65.122717753367098</v>
      </c>
    </row>
    <row r="94" spans="1:12" x14ac:dyDescent="0.25">
      <c r="A94" s="1" t="s">
        <v>11</v>
      </c>
      <c r="B94" s="1">
        <v>2015</v>
      </c>
      <c r="C94" s="1" t="s">
        <v>19</v>
      </c>
      <c r="D94" s="1" t="s">
        <v>8</v>
      </c>
      <c r="E94" s="1">
        <v>65.103287498018801</v>
      </c>
      <c r="G94" t="s">
        <v>11</v>
      </c>
      <c r="H94">
        <v>2015</v>
      </c>
      <c r="I94" t="s">
        <v>19</v>
      </c>
      <c r="J94" t="s">
        <v>8</v>
      </c>
      <c r="K94" t="str">
        <f t="shared" si="1"/>
        <v>Combined2015July</v>
      </c>
      <c r="L94" s="2">
        <v>65.103287498018801</v>
      </c>
    </row>
    <row r="95" spans="1:12" x14ac:dyDescent="0.25">
      <c r="A95" s="1" t="s">
        <v>11</v>
      </c>
      <c r="B95" s="1">
        <v>2015</v>
      </c>
      <c r="C95" s="1" t="s">
        <v>20</v>
      </c>
      <c r="D95" s="1" t="s">
        <v>6</v>
      </c>
      <c r="E95" s="1">
        <v>65.851322052318039</v>
      </c>
      <c r="G95" t="s">
        <v>11</v>
      </c>
      <c r="H95">
        <v>2015</v>
      </c>
      <c r="I95" t="s">
        <v>20</v>
      </c>
      <c r="J95" t="s">
        <v>6</v>
      </c>
      <c r="K95" t="str">
        <f t="shared" si="1"/>
        <v>Rural2015August</v>
      </c>
      <c r="L95" s="2">
        <v>65.851322052318039</v>
      </c>
    </row>
    <row r="96" spans="1:12" x14ac:dyDescent="0.25">
      <c r="A96" s="1" t="s">
        <v>11</v>
      </c>
      <c r="B96" s="1">
        <v>2015</v>
      </c>
      <c r="C96" s="1" t="s">
        <v>20</v>
      </c>
      <c r="D96" s="1" t="s">
        <v>7</v>
      </c>
      <c r="E96" s="1">
        <v>65.548356431493687</v>
      </c>
      <c r="G96" t="s">
        <v>11</v>
      </c>
      <c r="H96">
        <v>2015</v>
      </c>
      <c r="I96" t="s">
        <v>20</v>
      </c>
      <c r="J96" t="s">
        <v>7</v>
      </c>
      <c r="K96" t="str">
        <f t="shared" si="1"/>
        <v>Urban2015August</v>
      </c>
      <c r="L96" s="2">
        <v>65.548356431493687</v>
      </c>
    </row>
    <row r="97" spans="1:12" x14ac:dyDescent="0.25">
      <c r="A97" s="1" t="s">
        <v>11</v>
      </c>
      <c r="B97" s="1">
        <v>2015</v>
      </c>
      <c r="C97" s="1" t="s">
        <v>20</v>
      </c>
      <c r="D97" s="1" t="s">
        <v>8</v>
      </c>
      <c r="E97" s="1">
        <v>65.735358250426756</v>
      </c>
      <c r="G97" t="s">
        <v>11</v>
      </c>
      <c r="H97">
        <v>2015</v>
      </c>
      <c r="I97" t="s">
        <v>20</v>
      </c>
      <c r="J97" t="s">
        <v>8</v>
      </c>
      <c r="K97" t="str">
        <f t="shared" si="1"/>
        <v>Combined2015August</v>
      </c>
      <c r="L97" s="2">
        <v>65.735358250426756</v>
      </c>
    </row>
    <row r="98" spans="1:12" x14ac:dyDescent="0.25">
      <c r="A98" s="1" t="s">
        <v>11</v>
      </c>
      <c r="B98" s="1">
        <v>2015</v>
      </c>
      <c r="C98" s="1" t="s">
        <v>21</v>
      </c>
      <c r="D98" s="1" t="s">
        <v>6</v>
      </c>
      <c r="E98" s="1">
        <v>66.321315627631975</v>
      </c>
      <c r="G98" t="s">
        <v>11</v>
      </c>
      <c r="H98">
        <v>2015</v>
      </c>
      <c r="I98" t="s">
        <v>21</v>
      </c>
      <c r="J98" t="s">
        <v>6</v>
      </c>
      <c r="K98" t="str">
        <f t="shared" si="1"/>
        <v>Rural2015September</v>
      </c>
      <c r="L98" s="2">
        <v>66.321315627631975</v>
      </c>
    </row>
    <row r="99" spans="1:12" x14ac:dyDescent="0.25">
      <c r="A99" s="1" t="s">
        <v>11</v>
      </c>
      <c r="B99" s="1">
        <v>2015</v>
      </c>
      <c r="C99" s="1" t="s">
        <v>21</v>
      </c>
      <c r="D99" s="1" t="s">
        <v>7</v>
      </c>
      <c r="E99" s="1">
        <v>65.707970935791153</v>
      </c>
      <c r="G99" t="s">
        <v>11</v>
      </c>
      <c r="H99">
        <v>2015</v>
      </c>
      <c r="I99" t="s">
        <v>21</v>
      </c>
      <c r="J99" t="s">
        <v>7</v>
      </c>
      <c r="K99" t="str">
        <f t="shared" si="1"/>
        <v>Urban2015September</v>
      </c>
      <c r="L99" s="2">
        <v>65.707970935791153</v>
      </c>
    </row>
    <row r="100" spans="1:12" x14ac:dyDescent="0.25">
      <c r="A100" s="1" t="s">
        <v>11</v>
      </c>
      <c r="B100" s="1">
        <v>2015</v>
      </c>
      <c r="C100" s="1" t="s">
        <v>21</v>
      </c>
      <c r="D100" s="1" t="s">
        <v>8</v>
      </c>
      <c r="E100" s="1">
        <v>66.051393626630727</v>
      </c>
      <c r="G100" t="s">
        <v>11</v>
      </c>
      <c r="H100">
        <v>2015</v>
      </c>
      <c r="I100" t="s">
        <v>21</v>
      </c>
      <c r="J100" t="s">
        <v>8</v>
      </c>
      <c r="K100" t="str">
        <f t="shared" si="1"/>
        <v>Combined2015September</v>
      </c>
      <c r="L100" s="2">
        <v>66.051393626630727</v>
      </c>
    </row>
    <row r="101" spans="1:12" x14ac:dyDescent="0.25">
      <c r="A101" s="1" t="s">
        <v>11</v>
      </c>
      <c r="B101" s="1">
        <v>2015</v>
      </c>
      <c r="C101" s="1" t="s">
        <v>22</v>
      </c>
      <c r="D101" s="1" t="s">
        <v>6</v>
      </c>
      <c r="E101" s="1">
        <v>66.686866186209471</v>
      </c>
      <c r="G101" t="s">
        <v>11</v>
      </c>
      <c r="H101">
        <v>2015</v>
      </c>
      <c r="I101" t="s">
        <v>22</v>
      </c>
      <c r="J101" t="s">
        <v>6</v>
      </c>
      <c r="K101" t="str">
        <f t="shared" si="1"/>
        <v>Rural2015October</v>
      </c>
      <c r="L101" s="2">
        <v>66.686866186209471</v>
      </c>
    </row>
    <row r="102" spans="1:12" x14ac:dyDescent="0.25">
      <c r="A102" s="1" t="s">
        <v>11</v>
      </c>
      <c r="B102" s="1">
        <v>2015</v>
      </c>
      <c r="C102" s="1" t="s">
        <v>22</v>
      </c>
      <c r="D102" s="1" t="s">
        <v>7</v>
      </c>
      <c r="E102" s="1">
        <v>66.08040477915192</v>
      </c>
      <c r="G102" t="s">
        <v>11</v>
      </c>
      <c r="H102">
        <v>2015</v>
      </c>
      <c r="I102" t="s">
        <v>22</v>
      </c>
      <c r="J102" t="s">
        <v>7</v>
      </c>
      <c r="K102" t="str">
        <f t="shared" si="1"/>
        <v>Urban2015October</v>
      </c>
      <c r="L102" s="2">
        <v>66.08040477915192</v>
      </c>
    </row>
    <row r="103" spans="1:12" x14ac:dyDescent="0.25">
      <c r="A103" s="1" t="s">
        <v>11</v>
      </c>
      <c r="B103" s="1">
        <v>2015</v>
      </c>
      <c r="C103" s="1" t="s">
        <v>22</v>
      </c>
      <c r="D103" s="1" t="s">
        <v>8</v>
      </c>
      <c r="E103" s="1">
        <v>66.420101565535361</v>
      </c>
      <c r="G103" t="s">
        <v>11</v>
      </c>
      <c r="H103">
        <v>2015</v>
      </c>
      <c r="I103" t="s">
        <v>22</v>
      </c>
      <c r="J103" t="s">
        <v>8</v>
      </c>
      <c r="K103" t="str">
        <f t="shared" si="1"/>
        <v>Combined2015October</v>
      </c>
      <c r="L103" s="2">
        <v>66.420101565535361</v>
      </c>
    </row>
    <row r="104" spans="1:12" x14ac:dyDescent="0.25">
      <c r="A104" s="1" t="s">
        <v>11</v>
      </c>
      <c r="B104" s="1">
        <v>2015</v>
      </c>
      <c r="C104" s="1" t="s">
        <v>23</v>
      </c>
      <c r="D104" s="1" t="s">
        <v>6</v>
      </c>
      <c r="E104" s="1">
        <v>67.000195236418762</v>
      </c>
      <c r="G104" t="s">
        <v>11</v>
      </c>
      <c r="H104">
        <v>2015</v>
      </c>
      <c r="I104" t="s">
        <v>23</v>
      </c>
      <c r="J104" t="s">
        <v>6</v>
      </c>
      <c r="K104" t="str">
        <f t="shared" si="1"/>
        <v>Rural2015November</v>
      </c>
      <c r="L104" s="2">
        <v>67.000195236418762</v>
      </c>
    </row>
    <row r="105" spans="1:12" x14ac:dyDescent="0.25">
      <c r="A105" s="1" t="s">
        <v>11</v>
      </c>
      <c r="B105" s="1">
        <v>2015</v>
      </c>
      <c r="C105" s="1" t="s">
        <v>23</v>
      </c>
      <c r="D105" s="1" t="s">
        <v>7</v>
      </c>
      <c r="E105" s="1">
        <v>66.293224118215193</v>
      </c>
      <c r="G105" t="s">
        <v>11</v>
      </c>
      <c r="H105">
        <v>2015</v>
      </c>
      <c r="I105" t="s">
        <v>23</v>
      </c>
      <c r="J105" t="s">
        <v>7</v>
      </c>
      <c r="K105" t="str">
        <f t="shared" si="1"/>
        <v>Urban2015November</v>
      </c>
      <c r="L105" s="2">
        <v>66.293224118215193</v>
      </c>
    </row>
    <row r="106" spans="1:12" x14ac:dyDescent="0.25">
      <c r="A106" s="1" t="s">
        <v>11</v>
      </c>
      <c r="B106" s="1">
        <v>2015</v>
      </c>
      <c r="C106" s="1" t="s">
        <v>23</v>
      </c>
      <c r="D106" s="1" t="s">
        <v>8</v>
      </c>
      <c r="E106" s="1">
        <v>66.683464379038668</v>
      </c>
      <c r="G106" t="s">
        <v>11</v>
      </c>
      <c r="H106">
        <v>2015</v>
      </c>
      <c r="I106" t="s">
        <v>23</v>
      </c>
      <c r="J106" t="s">
        <v>8</v>
      </c>
      <c r="K106" t="str">
        <f t="shared" si="1"/>
        <v>Combined2015November</v>
      </c>
      <c r="L106" s="2">
        <v>66.683464379038668</v>
      </c>
    </row>
    <row r="107" spans="1:12" x14ac:dyDescent="0.25">
      <c r="A107" s="1" t="s">
        <v>11</v>
      </c>
      <c r="B107" s="1">
        <v>2015</v>
      </c>
      <c r="C107" s="1" t="s">
        <v>24</v>
      </c>
      <c r="D107" s="1" t="s">
        <v>6</v>
      </c>
      <c r="E107" s="1">
        <v>66.791309202945911</v>
      </c>
      <c r="G107" t="s">
        <v>11</v>
      </c>
      <c r="H107">
        <v>2015</v>
      </c>
      <c r="I107" t="s">
        <v>24</v>
      </c>
      <c r="J107" t="s">
        <v>6</v>
      </c>
      <c r="K107" t="str">
        <f t="shared" si="1"/>
        <v>Rural2015December</v>
      </c>
      <c r="L107" s="2">
        <v>66.791309202945911</v>
      </c>
    </row>
    <row r="108" spans="1:12" x14ac:dyDescent="0.25">
      <c r="A108" s="1" t="s">
        <v>11</v>
      </c>
      <c r="B108" s="1">
        <v>2015</v>
      </c>
      <c r="C108" s="1" t="s">
        <v>24</v>
      </c>
      <c r="D108" s="1" t="s">
        <v>7</v>
      </c>
      <c r="E108" s="1">
        <v>65.973995109620262</v>
      </c>
      <c r="G108" t="s">
        <v>11</v>
      </c>
      <c r="H108">
        <v>2015</v>
      </c>
      <c r="I108" t="s">
        <v>24</v>
      </c>
      <c r="J108" t="s">
        <v>7</v>
      </c>
      <c r="K108" t="str">
        <f t="shared" si="1"/>
        <v>Urban2015December</v>
      </c>
      <c r="L108" s="2">
        <v>65.973995109620262</v>
      </c>
    </row>
    <row r="109" spans="1:12" x14ac:dyDescent="0.25">
      <c r="A109" s="1" t="s">
        <v>11</v>
      </c>
      <c r="B109" s="1">
        <v>2015</v>
      </c>
      <c r="C109" s="1" t="s">
        <v>24</v>
      </c>
      <c r="D109" s="1" t="s">
        <v>8</v>
      </c>
      <c r="E109" s="1">
        <v>66.420101565535361</v>
      </c>
      <c r="G109" t="s">
        <v>11</v>
      </c>
      <c r="H109">
        <v>2015</v>
      </c>
      <c r="I109" t="s">
        <v>24</v>
      </c>
      <c r="J109" t="s">
        <v>8</v>
      </c>
      <c r="K109" t="str">
        <f t="shared" si="1"/>
        <v>Combined2015December</v>
      </c>
      <c r="L109" s="2">
        <v>66.420101565535361</v>
      </c>
    </row>
    <row r="110" spans="1:12" x14ac:dyDescent="0.25">
      <c r="A110" s="1" t="s">
        <v>11</v>
      </c>
      <c r="B110" s="1">
        <v>2016</v>
      </c>
      <c r="C110" s="1" t="s">
        <v>10</v>
      </c>
      <c r="D110" s="1" t="s">
        <v>6</v>
      </c>
      <c r="E110" s="1">
        <v>66.895752219682322</v>
      </c>
      <c r="G110" t="s">
        <v>11</v>
      </c>
      <c r="H110">
        <v>2016</v>
      </c>
      <c r="I110" t="s">
        <v>10</v>
      </c>
      <c r="J110" t="s">
        <v>6</v>
      </c>
      <c r="K110" t="str">
        <f t="shared" si="1"/>
        <v>Rural2016January</v>
      </c>
      <c r="L110" s="2">
        <v>66.895752219682322</v>
      </c>
    </row>
    <row r="111" spans="1:12" x14ac:dyDescent="0.25">
      <c r="A111" s="1" t="s">
        <v>11</v>
      </c>
      <c r="B111" s="1">
        <v>2016</v>
      </c>
      <c r="C111" s="1" t="s">
        <v>10</v>
      </c>
      <c r="D111" s="1" t="s">
        <v>7</v>
      </c>
      <c r="E111" s="1">
        <v>66.08040477915192</v>
      </c>
      <c r="G111" t="s">
        <v>11</v>
      </c>
      <c r="H111">
        <v>2016</v>
      </c>
      <c r="I111" t="s">
        <v>10</v>
      </c>
      <c r="J111" t="s">
        <v>7</v>
      </c>
      <c r="K111" t="str">
        <f t="shared" si="1"/>
        <v>Urban2016January</v>
      </c>
      <c r="L111" s="2">
        <v>66.08040477915192</v>
      </c>
    </row>
    <row r="112" spans="1:12" x14ac:dyDescent="0.25">
      <c r="A112" s="1" t="s">
        <v>11</v>
      </c>
      <c r="B112" s="1">
        <v>2016</v>
      </c>
      <c r="C112" s="1" t="s">
        <v>10</v>
      </c>
      <c r="D112" s="1" t="s">
        <v>8</v>
      </c>
      <c r="E112" s="1">
        <v>66.52544669093669</v>
      </c>
      <c r="G112" t="s">
        <v>11</v>
      </c>
      <c r="H112">
        <v>2016</v>
      </c>
      <c r="I112" t="s">
        <v>10</v>
      </c>
      <c r="J112" t="s">
        <v>8</v>
      </c>
      <c r="K112" t="str">
        <f t="shared" si="1"/>
        <v>Combined2016January</v>
      </c>
      <c r="L112" s="2">
        <v>66.52544669093669</v>
      </c>
    </row>
    <row r="113" spans="1:12" x14ac:dyDescent="0.25">
      <c r="A113" s="1" t="s">
        <v>11</v>
      </c>
      <c r="B113" s="1">
        <v>2016</v>
      </c>
      <c r="C113" s="1" t="s">
        <v>14</v>
      </c>
      <c r="D113" s="1" t="s">
        <v>6</v>
      </c>
      <c r="E113" s="1">
        <v>66.791309202945911</v>
      </c>
      <c r="G113" t="s">
        <v>11</v>
      </c>
      <c r="H113">
        <v>2016</v>
      </c>
      <c r="I113" t="s">
        <v>14</v>
      </c>
      <c r="J113" t="s">
        <v>6</v>
      </c>
      <c r="K113" t="str">
        <f t="shared" si="1"/>
        <v>Rural2016February</v>
      </c>
      <c r="L113" s="2">
        <v>66.791309202945911</v>
      </c>
    </row>
    <row r="114" spans="1:12" x14ac:dyDescent="0.25">
      <c r="A114" s="1" t="s">
        <v>11</v>
      </c>
      <c r="B114" s="1">
        <v>2016</v>
      </c>
      <c r="C114" s="1" t="s">
        <v>14</v>
      </c>
      <c r="D114" s="1" t="s">
        <v>7</v>
      </c>
      <c r="E114" s="1">
        <v>65.867585440088618</v>
      </c>
      <c r="G114" t="s">
        <v>11</v>
      </c>
      <c r="H114">
        <v>2016</v>
      </c>
      <c r="I114" t="s">
        <v>14</v>
      </c>
      <c r="J114" t="s">
        <v>7</v>
      </c>
      <c r="K114" t="str">
        <f t="shared" si="1"/>
        <v>Urban2016February</v>
      </c>
      <c r="L114" s="2">
        <v>65.867585440088618</v>
      </c>
    </row>
    <row r="115" spans="1:12" x14ac:dyDescent="0.25">
      <c r="A115" s="1" t="s">
        <v>11</v>
      </c>
      <c r="B115" s="1">
        <v>2016</v>
      </c>
      <c r="C115" s="1" t="s">
        <v>14</v>
      </c>
      <c r="D115" s="1" t="s">
        <v>8</v>
      </c>
      <c r="E115" s="1">
        <v>66.367429002834697</v>
      </c>
      <c r="G115" t="s">
        <v>11</v>
      </c>
      <c r="H115">
        <v>2016</v>
      </c>
      <c r="I115" t="s">
        <v>14</v>
      </c>
      <c r="J115" t="s">
        <v>8</v>
      </c>
      <c r="K115" t="str">
        <f t="shared" si="1"/>
        <v>Combined2016February</v>
      </c>
      <c r="L115" s="2">
        <v>66.367429002834697</v>
      </c>
    </row>
    <row r="116" spans="1:12" x14ac:dyDescent="0.25">
      <c r="A116" s="1" t="s">
        <v>11</v>
      </c>
      <c r="B116" s="1">
        <v>2016</v>
      </c>
      <c r="C116" s="1" t="s">
        <v>15</v>
      </c>
      <c r="D116" s="1" t="s">
        <v>6</v>
      </c>
      <c r="E116" s="1">
        <v>66.843530711314116</v>
      </c>
      <c r="G116" t="s">
        <v>11</v>
      </c>
      <c r="H116">
        <v>2016</v>
      </c>
      <c r="I116" t="s">
        <v>15</v>
      </c>
      <c r="J116" t="s">
        <v>6</v>
      </c>
      <c r="K116" t="str">
        <f t="shared" si="1"/>
        <v>Rural2016March</v>
      </c>
      <c r="L116" s="2">
        <v>66.843530711314116</v>
      </c>
    </row>
    <row r="117" spans="1:12" x14ac:dyDescent="0.25">
      <c r="A117" s="1" t="s">
        <v>11</v>
      </c>
      <c r="B117" s="1">
        <v>2016</v>
      </c>
      <c r="C117" s="1" t="s">
        <v>15</v>
      </c>
      <c r="D117" s="1" t="s">
        <v>7</v>
      </c>
      <c r="E117" s="1">
        <v>65.867585440088618</v>
      </c>
      <c r="G117" t="s">
        <v>11</v>
      </c>
      <c r="H117">
        <v>2016</v>
      </c>
      <c r="I117" t="s">
        <v>15</v>
      </c>
      <c r="J117" t="s">
        <v>7</v>
      </c>
      <c r="K117" t="str">
        <f t="shared" si="1"/>
        <v>Urban2016March</v>
      </c>
      <c r="L117" s="2">
        <v>65.867585440088618</v>
      </c>
    </row>
    <row r="118" spans="1:12" x14ac:dyDescent="0.25">
      <c r="A118" s="1" t="s">
        <v>11</v>
      </c>
      <c r="B118" s="1">
        <v>2016</v>
      </c>
      <c r="C118" s="1" t="s">
        <v>15</v>
      </c>
      <c r="D118" s="1" t="s">
        <v>8</v>
      </c>
      <c r="E118" s="1">
        <v>66.367429002834697</v>
      </c>
      <c r="G118" t="s">
        <v>11</v>
      </c>
      <c r="H118">
        <v>2016</v>
      </c>
      <c r="I118" t="s">
        <v>15</v>
      </c>
      <c r="J118" t="s">
        <v>8</v>
      </c>
      <c r="K118" t="str">
        <f t="shared" si="1"/>
        <v>Combined2016March</v>
      </c>
      <c r="L118" s="2">
        <v>66.367429002834697</v>
      </c>
    </row>
    <row r="119" spans="1:12" x14ac:dyDescent="0.25">
      <c r="A119" s="1" t="s">
        <v>11</v>
      </c>
      <c r="B119" s="1">
        <v>2016</v>
      </c>
      <c r="C119" s="1" t="s">
        <v>16</v>
      </c>
      <c r="D119" s="1" t="s">
        <v>6</v>
      </c>
      <c r="E119" s="1">
        <v>67.365745794996258</v>
      </c>
      <c r="G119" t="s">
        <v>11</v>
      </c>
      <c r="H119">
        <v>2016</v>
      </c>
      <c r="I119" t="s">
        <v>16</v>
      </c>
      <c r="J119" t="s">
        <v>6</v>
      </c>
      <c r="K119" t="str">
        <f t="shared" si="1"/>
        <v>Rural2016April</v>
      </c>
      <c r="L119" s="2">
        <v>67.365745794996258</v>
      </c>
    </row>
    <row r="120" spans="1:12" x14ac:dyDescent="0.25">
      <c r="A120" s="1" t="s">
        <v>11</v>
      </c>
      <c r="B120" s="1">
        <v>2016</v>
      </c>
      <c r="C120" s="1" t="s">
        <v>16</v>
      </c>
      <c r="D120" s="1" t="s">
        <v>7</v>
      </c>
      <c r="E120" s="1">
        <v>66.66565796157596</v>
      </c>
      <c r="G120" t="s">
        <v>11</v>
      </c>
      <c r="H120">
        <v>2016</v>
      </c>
      <c r="I120" t="s">
        <v>16</v>
      </c>
      <c r="J120" t="s">
        <v>7</v>
      </c>
      <c r="K120" t="str">
        <f t="shared" si="1"/>
        <v>Urban2016April</v>
      </c>
      <c r="L120" s="2">
        <v>66.66565796157596</v>
      </c>
    </row>
    <row r="121" spans="1:12" x14ac:dyDescent="0.25">
      <c r="A121" s="1" t="s">
        <v>11</v>
      </c>
      <c r="B121" s="1">
        <v>2016</v>
      </c>
      <c r="C121" s="1" t="s">
        <v>16</v>
      </c>
      <c r="D121" s="1" t="s">
        <v>8</v>
      </c>
      <c r="E121" s="1">
        <v>67.052172317943317</v>
      </c>
      <c r="G121" t="s">
        <v>11</v>
      </c>
      <c r="H121">
        <v>2016</v>
      </c>
      <c r="I121" t="s">
        <v>16</v>
      </c>
      <c r="J121" t="s">
        <v>8</v>
      </c>
      <c r="K121" t="str">
        <f t="shared" si="1"/>
        <v>Combined2016April</v>
      </c>
      <c r="L121" s="2">
        <v>67.052172317943317</v>
      </c>
    </row>
    <row r="122" spans="1:12" x14ac:dyDescent="0.25">
      <c r="A122" s="1" t="s">
        <v>11</v>
      </c>
      <c r="B122" s="1">
        <v>2016</v>
      </c>
      <c r="C122" s="1" t="s">
        <v>17</v>
      </c>
      <c r="D122" s="1" t="s">
        <v>6</v>
      </c>
      <c r="E122" s="1">
        <v>68.044625403783044</v>
      </c>
      <c r="G122" t="s">
        <v>11</v>
      </c>
      <c r="H122">
        <v>2016</v>
      </c>
      <c r="I122" t="s">
        <v>17</v>
      </c>
      <c r="J122" t="s">
        <v>6</v>
      </c>
      <c r="K122" t="str">
        <f t="shared" si="1"/>
        <v>Rural2016May</v>
      </c>
      <c r="L122" s="2">
        <v>68.044625403783044</v>
      </c>
    </row>
    <row r="123" spans="1:12" x14ac:dyDescent="0.25">
      <c r="A123" s="1" t="s">
        <v>11</v>
      </c>
      <c r="B123" s="1">
        <v>2016</v>
      </c>
      <c r="C123" s="1" t="s">
        <v>17</v>
      </c>
      <c r="D123" s="1" t="s">
        <v>7</v>
      </c>
      <c r="E123" s="1">
        <v>67.357320813531658</v>
      </c>
      <c r="G123" t="s">
        <v>11</v>
      </c>
      <c r="H123">
        <v>2016</v>
      </c>
      <c r="I123" t="s">
        <v>17</v>
      </c>
      <c r="J123" t="s">
        <v>7</v>
      </c>
      <c r="K123" t="str">
        <f t="shared" si="1"/>
        <v>Urban2016May</v>
      </c>
      <c r="L123" s="2">
        <v>67.357320813531658</v>
      </c>
    </row>
    <row r="124" spans="1:12" x14ac:dyDescent="0.25">
      <c r="A124" s="1" t="s">
        <v>11</v>
      </c>
      <c r="B124" s="1">
        <v>2016</v>
      </c>
      <c r="C124" s="1" t="s">
        <v>17</v>
      </c>
      <c r="D124" s="1" t="s">
        <v>8</v>
      </c>
      <c r="E124" s="1">
        <v>67.736915633051922</v>
      </c>
      <c r="G124" t="s">
        <v>11</v>
      </c>
      <c r="H124">
        <v>2016</v>
      </c>
      <c r="I124" t="s">
        <v>17</v>
      </c>
      <c r="J124" t="s">
        <v>8</v>
      </c>
      <c r="K124" t="str">
        <f t="shared" si="1"/>
        <v>Combined2016May</v>
      </c>
      <c r="L124" s="2">
        <v>67.736915633051922</v>
      </c>
    </row>
    <row r="125" spans="1:12" x14ac:dyDescent="0.25">
      <c r="A125" s="1" t="s">
        <v>11</v>
      </c>
      <c r="B125" s="1">
        <v>2016</v>
      </c>
      <c r="C125" s="1" t="s">
        <v>18</v>
      </c>
      <c r="D125" s="1" t="s">
        <v>6</v>
      </c>
      <c r="E125" s="1">
        <v>68.880169537674476</v>
      </c>
      <c r="G125" t="s">
        <v>11</v>
      </c>
      <c r="H125">
        <v>2016</v>
      </c>
      <c r="I125" t="s">
        <v>18</v>
      </c>
      <c r="J125" t="s">
        <v>6</v>
      </c>
      <c r="K125" t="str">
        <f t="shared" si="1"/>
        <v>Rural2016June</v>
      </c>
      <c r="L125" s="2">
        <v>68.880169537674476</v>
      </c>
    </row>
    <row r="126" spans="1:12" x14ac:dyDescent="0.25">
      <c r="A126" s="1" t="s">
        <v>11</v>
      </c>
      <c r="B126" s="1">
        <v>2016</v>
      </c>
      <c r="C126" s="1" t="s">
        <v>18</v>
      </c>
      <c r="D126" s="1" t="s">
        <v>7</v>
      </c>
      <c r="E126" s="1">
        <v>68.155393335018999</v>
      </c>
      <c r="G126" t="s">
        <v>11</v>
      </c>
      <c r="H126">
        <v>2016</v>
      </c>
      <c r="I126" t="s">
        <v>18</v>
      </c>
      <c r="J126" t="s">
        <v>7</v>
      </c>
      <c r="K126" t="str">
        <f t="shared" si="1"/>
        <v>Urban2016June</v>
      </c>
      <c r="L126" s="2">
        <v>68.155393335018999</v>
      </c>
    </row>
    <row r="127" spans="1:12" x14ac:dyDescent="0.25">
      <c r="A127" s="1" t="s">
        <v>11</v>
      </c>
      <c r="B127" s="1">
        <v>2016</v>
      </c>
      <c r="C127" s="1" t="s">
        <v>18</v>
      </c>
      <c r="D127" s="1" t="s">
        <v>8</v>
      </c>
      <c r="E127" s="1">
        <v>68.527004073561855</v>
      </c>
      <c r="G127" t="s">
        <v>11</v>
      </c>
      <c r="H127">
        <v>2016</v>
      </c>
      <c r="I127" t="s">
        <v>18</v>
      </c>
      <c r="J127" t="s">
        <v>8</v>
      </c>
      <c r="K127" t="str">
        <f t="shared" si="1"/>
        <v>Combined2016June</v>
      </c>
      <c r="L127" s="2">
        <v>68.527004073561855</v>
      </c>
    </row>
    <row r="128" spans="1:12" x14ac:dyDescent="0.25">
      <c r="A128" s="1" t="s">
        <v>11</v>
      </c>
      <c r="B128" s="1">
        <v>2016</v>
      </c>
      <c r="C128" s="1" t="s">
        <v>19</v>
      </c>
      <c r="D128" s="1" t="s">
        <v>6</v>
      </c>
      <c r="E128" s="1">
        <v>69.454606129724823</v>
      </c>
      <c r="G128" t="s">
        <v>11</v>
      </c>
      <c r="H128">
        <v>2016</v>
      </c>
      <c r="I128" t="s">
        <v>19</v>
      </c>
      <c r="J128" t="s">
        <v>6</v>
      </c>
      <c r="K128" t="str">
        <f t="shared" si="1"/>
        <v>Rural2016July</v>
      </c>
      <c r="L128" s="2">
        <v>69.454606129724823</v>
      </c>
    </row>
    <row r="129" spans="1:12" x14ac:dyDescent="0.25">
      <c r="A129" s="1" t="s">
        <v>11</v>
      </c>
      <c r="B129" s="1">
        <v>2016</v>
      </c>
      <c r="C129" s="1" t="s">
        <v>19</v>
      </c>
      <c r="D129" s="1" t="s">
        <v>7</v>
      </c>
      <c r="E129" s="1">
        <v>68.63423684791141</v>
      </c>
      <c r="G129" t="s">
        <v>11</v>
      </c>
      <c r="H129">
        <v>2016</v>
      </c>
      <c r="I129" t="s">
        <v>19</v>
      </c>
      <c r="J129" t="s">
        <v>7</v>
      </c>
      <c r="K129" t="str">
        <f t="shared" si="1"/>
        <v>Urban2016July</v>
      </c>
      <c r="L129" s="2">
        <v>68.63423684791141</v>
      </c>
    </row>
    <row r="130" spans="1:12" x14ac:dyDescent="0.25">
      <c r="A130" s="1" t="s">
        <v>11</v>
      </c>
      <c r="B130" s="1">
        <v>2016</v>
      </c>
      <c r="C130" s="1" t="s">
        <v>19</v>
      </c>
      <c r="D130" s="1" t="s">
        <v>8</v>
      </c>
      <c r="E130" s="1">
        <v>69.053729700568482</v>
      </c>
      <c r="G130" t="s">
        <v>11</v>
      </c>
      <c r="H130">
        <v>2016</v>
      </c>
      <c r="I130" t="s">
        <v>19</v>
      </c>
      <c r="J130" t="s">
        <v>8</v>
      </c>
      <c r="K130" t="str">
        <f t="shared" si="1"/>
        <v>Combined2016July</v>
      </c>
      <c r="L130" s="2">
        <v>69.053729700568482</v>
      </c>
    </row>
    <row r="131" spans="1:12" x14ac:dyDescent="0.25">
      <c r="A131" s="1" t="s">
        <v>11</v>
      </c>
      <c r="B131" s="1">
        <v>2016</v>
      </c>
      <c r="C131" s="1" t="s">
        <v>20</v>
      </c>
      <c r="D131" s="1" t="s">
        <v>6</v>
      </c>
      <c r="E131" s="1">
        <v>69.715713671565894</v>
      </c>
      <c r="G131" t="s">
        <v>11</v>
      </c>
      <c r="H131">
        <v>2016</v>
      </c>
      <c r="I131" t="s">
        <v>20</v>
      </c>
      <c r="J131" t="s">
        <v>6</v>
      </c>
      <c r="K131" t="str">
        <f t="shared" ref="K131:K194" si="2">CONCATENATE(J131,H131,I131)</f>
        <v>Rural2016August</v>
      </c>
      <c r="L131" s="2">
        <v>69.715713671565894</v>
      </c>
    </row>
    <row r="132" spans="1:12" x14ac:dyDescent="0.25">
      <c r="A132" s="1" t="s">
        <v>11</v>
      </c>
      <c r="B132" s="1">
        <v>2016</v>
      </c>
      <c r="C132" s="1" t="s">
        <v>20</v>
      </c>
      <c r="D132" s="1" t="s">
        <v>7</v>
      </c>
      <c r="E132" s="1">
        <v>68.315007839316465</v>
      </c>
      <c r="G132" t="s">
        <v>11</v>
      </c>
      <c r="H132">
        <v>2016</v>
      </c>
      <c r="I132" t="s">
        <v>20</v>
      </c>
      <c r="J132" t="s">
        <v>7</v>
      </c>
      <c r="K132" t="str">
        <f t="shared" si="2"/>
        <v>Urban2016August</v>
      </c>
      <c r="L132" s="2">
        <v>68.315007839316465</v>
      </c>
    </row>
    <row r="133" spans="1:12" x14ac:dyDescent="0.25">
      <c r="A133" s="1" t="s">
        <v>11</v>
      </c>
      <c r="B133" s="1">
        <v>2016</v>
      </c>
      <c r="C133" s="1" t="s">
        <v>20</v>
      </c>
      <c r="D133" s="1" t="s">
        <v>8</v>
      </c>
      <c r="E133" s="1">
        <v>69.053729700568482</v>
      </c>
      <c r="G133" t="s">
        <v>11</v>
      </c>
      <c r="H133">
        <v>2016</v>
      </c>
      <c r="I133" t="s">
        <v>20</v>
      </c>
      <c r="J133" t="s">
        <v>8</v>
      </c>
      <c r="K133" t="str">
        <f t="shared" si="2"/>
        <v>Combined2016August</v>
      </c>
      <c r="L133" s="2">
        <v>69.053729700568482</v>
      </c>
    </row>
    <row r="134" spans="1:12" x14ac:dyDescent="0.25">
      <c r="A134" s="1" t="s">
        <v>11</v>
      </c>
      <c r="B134" s="1">
        <v>2016</v>
      </c>
      <c r="C134" s="1" t="s">
        <v>21</v>
      </c>
      <c r="D134" s="1" t="s">
        <v>6</v>
      </c>
      <c r="E134" s="1">
        <v>69.663492163197688</v>
      </c>
      <c r="G134" t="s">
        <v>11</v>
      </c>
      <c r="H134">
        <v>2016</v>
      </c>
      <c r="I134" t="s">
        <v>21</v>
      </c>
      <c r="J134" t="s">
        <v>6</v>
      </c>
      <c r="K134" t="str">
        <f t="shared" si="2"/>
        <v>Rural2016September</v>
      </c>
      <c r="L134" s="2">
        <v>69.663492163197688</v>
      </c>
    </row>
    <row r="135" spans="1:12" x14ac:dyDescent="0.25">
      <c r="A135" s="1" t="s">
        <v>11</v>
      </c>
      <c r="B135" s="1">
        <v>2016</v>
      </c>
      <c r="C135" s="1" t="s">
        <v>21</v>
      </c>
      <c r="D135" s="1" t="s">
        <v>7</v>
      </c>
      <c r="E135" s="1">
        <v>68.102188500253177</v>
      </c>
      <c r="G135" t="s">
        <v>11</v>
      </c>
      <c r="H135">
        <v>2016</v>
      </c>
      <c r="I135" t="s">
        <v>21</v>
      </c>
      <c r="J135" t="s">
        <v>7</v>
      </c>
      <c r="K135" t="str">
        <f t="shared" si="2"/>
        <v>Urban2016September</v>
      </c>
      <c r="L135" s="2">
        <v>68.102188500253177</v>
      </c>
    </row>
    <row r="136" spans="1:12" x14ac:dyDescent="0.25">
      <c r="A136" s="1" t="s">
        <v>11</v>
      </c>
      <c r="B136" s="1">
        <v>2016</v>
      </c>
      <c r="C136" s="1" t="s">
        <v>21</v>
      </c>
      <c r="D136" s="1" t="s">
        <v>8</v>
      </c>
      <c r="E136" s="1">
        <v>68.948384575167168</v>
      </c>
      <c r="G136" t="s">
        <v>11</v>
      </c>
      <c r="H136">
        <v>2016</v>
      </c>
      <c r="I136" t="s">
        <v>21</v>
      </c>
      <c r="J136" t="s">
        <v>8</v>
      </c>
      <c r="K136" t="str">
        <f t="shared" si="2"/>
        <v>Combined2016September</v>
      </c>
      <c r="L136" s="2">
        <v>68.948384575167168</v>
      </c>
    </row>
    <row r="137" spans="1:12" x14ac:dyDescent="0.25">
      <c r="A137" s="1" t="s">
        <v>11</v>
      </c>
      <c r="B137" s="1">
        <v>2016</v>
      </c>
      <c r="C137" s="1" t="s">
        <v>22</v>
      </c>
      <c r="D137" s="1" t="s">
        <v>6</v>
      </c>
      <c r="E137" s="1">
        <v>69.872378196670539</v>
      </c>
      <c r="G137" t="s">
        <v>11</v>
      </c>
      <c r="H137">
        <v>2016</v>
      </c>
      <c r="I137" t="s">
        <v>22</v>
      </c>
      <c r="J137" t="s">
        <v>6</v>
      </c>
      <c r="K137" t="str">
        <f t="shared" si="2"/>
        <v>Rural2016October</v>
      </c>
      <c r="L137" s="2">
        <v>69.872378196670539</v>
      </c>
    </row>
    <row r="138" spans="1:12" x14ac:dyDescent="0.25">
      <c r="A138" s="1" t="s">
        <v>11</v>
      </c>
      <c r="B138" s="1">
        <v>2016</v>
      </c>
      <c r="C138" s="1" t="s">
        <v>22</v>
      </c>
      <c r="D138" s="1" t="s">
        <v>7</v>
      </c>
      <c r="E138" s="1">
        <v>68.421417508848108</v>
      </c>
      <c r="G138" t="s">
        <v>11</v>
      </c>
      <c r="H138">
        <v>2016</v>
      </c>
      <c r="I138" t="s">
        <v>22</v>
      </c>
      <c r="J138" t="s">
        <v>7</v>
      </c>
      <c r="K138" t="str">
        <f t="shared" si="2"/>
        <v>Urban2016October</v>
      </c>
      <c r="L138" s="2">
        <v>68.421417508848108</v>
      </c>
    </row>
    <row r="139" spans="1:12" x14ac:dyDescent="0.25">
      <c r="A139" s="1" t="s">
        <v>11</v>
      </c>
      <c r="B139" s="1">
        <v>2016</v>
      </c>
      <c r="C139" s="1" t="s">
        <v>22</v>
      </c>
      <c r="D139" s="1" t="s">
        <v>8</v>
      </c>
      <c r="E139" s="1">
        <v>69.211747388670474</v>
      </c>
      <c r="G139" t="s">
        <v>11</v>
      </c>
      <c r="H139">
        <v>2016</v>
      </c>
      <c r="I139" t="s">
        <v>22</v>
      </c>
      <c r="J139" t="s">
        <v>8</v>
      </c>
      <c r="K139" t="str">
        <f t="shared" si="2"/>
        <v>Combined2016October</v>
      </c>
      <c r="L139" s="2">
        <v>69.211747388670474</v>
      </c>
    </row>
    <row r="140" spans="1:12" x14ac:dyDescent="0.25">
      <c r="A140" s="1" t="s">
        <v>11</v>
      </c>
      <c r="B140" s="1">
        <v>2016</v>
      </c>
      <c r="C140" s="1" t="s">
        <v>23</v>
      </c>
      <c r="D140" s="1" t="s">
        <v>6</v>
      </c>
      <c r="E140" s="1">
        <v>69.767935179934099</v>
      </c>
      <c r="G140" t="s">
        <v>11</v>
      </c>
      <c r="H140">
        <v>2016</v>
      </c>
      <c r="I140" t="s">
        <v>23</v>
      </c>
      <c r="J140" t="s">
        <v>6</v>
      </c>
      <c r="K140" t="str">
        <f t="shared" si="2"/>
        <v>Rural2016November</v>
      </c>
      <c r="L140" s="2">
        <v>69.767935179934099</v>
      </c>
    </row>
    <row r="141" spans="1:12" x14ac:dyDescent="0.25">
      <c r="A141" s="1" t="s">
        <v>11</v>
      </c>
      <c r="B141" s="1">
        <v>2016</v>
      </c>
      <c r="C141" s="1" t="s">
        <v>23</v>
      </c>
      <c r="D141" s="1" t="s">
        <v>7</v>
      </c>
      <c r="E141" s="1">
        <v>68.368212674082287</v>
      </c>
      <c r="G141" t="s">
        <v>11</v>
      </c>
      <c r="H141">
        <v>2016</v>
      </c>
      <c r="I141" t="s">
        <v>23</v>
      </c>
      <c r="J141" t="s">
        <v>7</v>
      </c>
      <c r="K141" t="str">
        <f t="shared" si="2"/>
        <v>Urban2016November</v>
      </c>
      <c r="L141" s="2">
        <v>68.368212674082287</v>
      </c>
    </row>
    <row r="142" spans="1:12" x14ac:dyDescent="0.25">
      <c r="A142" s="1" t="s">
        <v>11</v>
      </c>
      <c r="B142" s="1">
        <v>2016</v>
      </c>
      <c r="C142" s="1" t="s">
        <v>23</v>
      </c>
      <c r="D142" s="1" t="s">
        <v>8</v>
      </c>
      <c r="E142" s="1">
        <v>69.106402263269146</v>
      </c>
      <c r="G142" t="s">
        <v>11</v>
      </c>
      <c r="H142">
        <v>2016</v>
      </c>
      <c r="I142" t="s">
        <v>23</v>
      </c>
      <c r="J142" t="s">
        <v>8</v>
      </c>
      <c r="K142" t="str">
        <f t="shared" si="2"/>
        <v>Combined2016November</v>
      </c>
      <c r="L142" s="2">
        <v>69.106402263269146</v>
      </c>
    </row>
    <row r="143" spans="1:12" x14ac:dyDescent="0.25">
      <c r="A143" s="1" t="s">
        <v>11</v>
      </c>
      <c r="B143" s="1">
        <v>2016</v>
      </c>
      <c r="C143" s="1" t="s">
        <v>24</v>
      </c>
      <c r="D143" s="1" t="s">
        <v>6</v>
      </c>
      <c r="E143" s="1">
        <v>69.350163112988398</v>
      </c>
      <c r="G143" t="s">
        <v>11</v>
      </c>
      <c r="H143">
        <v>2016</v>
      </c>
      <c r="I143" t="s">
        <v>24</v>
      </c>
      <c r="J143" t="s">
        <v>6</v>
      </c>
      <c r="K143" t="str">
        <f t="shared" si="2"/>
        <v>Rural2016December</v>
      </c>
      <c r="L143" s="2">
        <v>69.350163112988398</v>
      </c>
    </row>
    <row r="144" spans="1:12" x14ac:dyDescent="0.25">
      <c r="A144" s="1" t="s">
        <v>11</v>
      </c>
      <c r="B144" s="1">
        <v>2016</v>
      </c>
      <c r="C144" s="1" t="s">
        <v>24</v>
      </c>
      <c r="D144" s="1" t="s">
        <v>7</v>
      </c>
      <c r="E144" s="1">
        <v>67.88936916118989</v>
      </c>
      <c r="G144" t="s">
        <v>11</v>
      </c>
      <c r="H144">
        <v>2016</v>
      </c>
      <c r="I144" t="s">
        <v>24</v>
      </c>
      <c r="J144" t="s">
        <v>7</v>
      </c>
      <c r="K144" t="str">
        <f t="shared" si="2"/>
        <v>Urban2016December</v>
      </c>
      <c r="L144" s="2">
        <v>67.88936916118989</v>
      </c>
    </row>
    <row r="145" spans="1:12" x14ac:dyDescent="0.25">
      <c r="A145" s="1" t="s">
        <v>11</v>
      </c>
      <c r="B145" s="1">
        <v>2016</v>
      </c>
      <c r="C145" s="1" t="s">
        <v>24</v>
      </c>
      <c r="D145" s="1" t="s">
        <v>8</v>
      </c>
      <c r="E145" s="1">
        <v>68.685021761663847</v>
      </c>
      <c r="G145" t="s">
        <v>11</v>
      </c>
      <c r="H145">
        <v>2016</v>
      </c>
      <c r="I145" t="s">
        <v>24</v>
      </c>
      <c r="J145" t="s">
        <v>8</v>
      </c>
      <c r="K145" t="str">
        <f t="shared" si="2"/>
        <v>Combined2016December</v>
      </c>
      <c r="L145" s="2">
        <v>68.685021761663847</v>
      </c>
    </row>
    <row r="146" spans="1:12" x14ac:dyDescent="0.25">
      <c r="A146" s="1" t="s">
        <v>11</v>
      </c>
      <c r="B146" s="1">
        <v>2017</v>
      </c>
      <c r="C146" s="1" t="s">
        <v>10</v>
      </c>
      <c r="D146" s="1" t="s">
        <v>6</v>
      </c>
      <c r="E146" s="1">
        <v>69.141277079515547</v>
      </c>
      <c r="G146" t="s">
        <v>11</v>
      </c>
      <c r="H146">
        <v>2017</v>
      </c>
      <c r="I146" t="s">
        <v>10</v>
      </c>
      <c r="J146" t="s">
        <v>6</v>
      </c>
      <c r="K146" t="str">
        <f t="shared" si="2"/>
        <v>Rural2017January</v>
      </c>
      <c r="L146" s="2">
        <v>69.141277079515547</v>
      </c>
    </row>
    <row r="147" spans="1:12" x14ac:dyDescent="0.25">
      <c r="A147" s="1" t="s">
        <v>11</v>
      </c>
      <c r="B147" s="1">
        <v>2017</v>
      </c>
      <c r="C147" s="1" t="s">
        <v>10</v>
      </c>
      <c r="D147" s="1" t="s">
        <v>7</v>
      </c>
      <c r="E147" s="1">
        <v>67.995778830721534</v>
      </c>
      <c r="G147" t="s">
        <v>11</v>
      </c>
      <c r="H147">
        <v>2017</v>
      </c>
      <c r="I147" t="s">
        <v>10</v>
      </c>
      <c r="J147" t="s">
        <v>7</v>
      </c>
      <c r="K147" t="str">
        <f t="shared" si="2"/>
        <v>Urban2017January</v>
      </c>
      <c r="L147" s="2">
        <v>67.995778830721534</v>
      </c>
    </row>
    <row r="148" spans="1:12" x14ac:dyDescent="0.25">
      <c r="A148" s="1" t="s">
        <v>11</v>
      </c>
      <c r="B148" s="1">
        <v>2017</v>
      </c>
      <c r="C148" s="1" t="s">
        <v>10</v>
      </c>
      <c r="D148" s="1" t="s">
        <v>8</v>
      </c>
      <c r="E148" s="1">
        <v>68.632349198963198</v>
      </c>
      <c r="G148" t="s">
        <v>11</v>
      </c>
      <c r="H148">
        <v>2017</v>
      </c>
      <c r="I148" t="s">
        <v>10</v>
      </c>
      <c r="J148" t="s">
        <v>8</v>
      </c>
      <c r="K148" t="str">
        <f t="shared" si="2"/>
        <v>Combined2017January</v>
      </c>
      <c r="L148" s="2">
        <v>68.632349198963198</v>
      </c>
    </row>
    <row r="149" spans="1:12" x14ac:dyDescent="0.25">
      <c r="A149" s="1" t="s">
        <v>11</v>
      </c>
      <c r="B149" s="1">
        <v>2017</v>
      </c>
      <c r="C149" s="1" t="s">
        <v>14</v>
      </c>
      <c r="D149" s="1" t="s">
        <v>6</v>
      </c>
      <c r="E149" s="1">
        <v>69.245720096251958</v>
      </c>
      <c r="G149" t="s">
        <v>11</v>
      </c>
      <c r="H149">
        <v>2017</v>
      </c>
      <c r="I149" t="s">
        <v>14</v>
      </c>
      <c r="J149" t="s">
        <v>6</v>
      </c>
      <c r="K149" t="str">
        <f t="shared" si="2"/>
        <v>Rural2017February</v>
      </c>
      <c r="L149" s="2">
        <v>69.245720096251958</v>
      </c>
    </row>
    <row r="150" spans="1:12" x14ac:dyDescent="0.25">
      <c r="A150" s="1" t="s">
        <v>11</v>
      </c>
      <c r="B150" s="1">
        <v>2017</v>
      </c>
      <c r="C150" s="1" t="s">
        <v>14</v>
      </c>
      <c r="D150" s="1" t="s">
        <v>7</v>
      </c>
      <c r="E150" s="1">
        <v>68.208598169784821</v>
      </c>
      <c r="G150" t="s">
        <v>11</v>
      </c>
      <c r="H150">
        <v>2017</v>
      </c>
      <c r="I150" t="s">
        <v>14</v>
      </c>
      <c r="J150" t="s">
        <v>7</v>
      </c>
      <c r="K150" t="str">
        <f t="shared" si="2"/>
        <v>Urban2017February</v>
      </c>
      <c r="L150" s="2">
        <v>68.208598169784821</v>
      </c>
    </row>
    <row r="151" spans="1:12" x14ac:dyDescent="0.25">
      <c r="A151" s="1" t="s">
        <v>11</v>
      </c>
      <c r="B151" s="1">
        <v>2017</v>
      </c>
      <c r="C151" s="1" t="s">
        <v>14</v>
      </c>
      <c r="D151" s="1" t="s">
        <v>8</v>
      </c>
      <c r="E151" s="1">
        <v>68.790366887065176</v>
      </c>
      <c r="G151" t="s">
        <v>11</v>
      </c>
      <c r="H151">
        <v>2017</v>
      </c>
      <c r="I151" t="s">
        <v>14</v>
      </c>
      <c r="J151" t="s">
        <v>8</v>
      </c>
      <c r="K151" t="str">
        <f t="shared" si="2"/>
        <v>Combined2017February</v>
      </c>
      <c r="L151" s="2">
        <v>68.790366887065176</v>
      </c>
    </row>
    <row r="152" spans="1:12" x14ac:dyDescent="0.25">
      <c r="A152" s="1" t="s">
        <v>11</v>
      </c>
      <c r="B152" s="1">
        <v>2017</v>
      </c>
      <c r="C152" s="1" t="s">
        <v>15</v>
      </c>
      <c r="D152" s="1" t="s">
        <v>6</v>
      </c>
      <c r="E152" s="1">
        <v>69.350163112988398</v>
      </c>
      <c r="G152" t="s">
        <v>11</v>
      </c>
      <c r="H152">
        <v>2017</v>
      </c>
      <c r="I152" t="s">
        <v>15</v>
      </c>
      <c r="J152" t="s">
        <v>6</v>
      </c>
      <c r="K152" t="str">
        <f t="shared" si="2"/>
        <v>Rural2017March</v>
      </c>
      <c r="L152" s="2">
        <v>69.350163112988398</v>
      </c>
    </row>
    <row r="153" spans="1:12" x14ac:dyDescent="0.25">
      <c r="A153" s="1" t="s">
        <v>11</v>
      </c>
      <c r="B153" s="1">
        <v>2017</v>
      </c>
      <c r="C153" s="1" t="s">
        <v>15</v>
      </c>
      <c r="D153" s="1" t="s">
        <v>7</v>
      </c>
      <c r="E153" s="1">
        <v>68.47462234361393</v>
      </c>
      <c r="G153" t="s">
        <v>11</v>
      </c>
      <c r="H153">
        <v>2017</v>
      </c>
      <c r="I153" t="s">
        <v>15</v>
      </c>
      <c r="J153" t="s">
        <v>7</v>
      </c>
      <c r="K153" t="str">
        <f t="shared" si="2"/>
        <v>Urban2017March</v>
      </c>
      <c r="L153" s="2">
        <v>68.47462234361393</v>
      </c>
    </row>
    <row r="154" spans="1:12" x14ac:dyDescent="0.25">
      <c r="A154" s="1" t="s">
        <v>11</v>
      </c>
      <c r="B154" s="1">
        <v>2017</v>
      </c>
      <c r="C154" s="1" t="s">
        <v>15</v>
      </c>
      <c r="D154" s="1" t="s">
        <v>8</v>
      </c>
      <c r="E154" s="1">
        <v>68.948384575167168</v>
      </c>
      <c r="G154" t="s">
        <v>11</v>
      </c>
      <c r="H154">
        <v>2017</v>
      </c>
      <c r="I154" t="s">
        <v>15</v>
      </c>
      <c r="J154" t="s">
        <v>8</v>
      </c>
      <c r="K154" t="str">
        <f t="shared" si="2"/>
        <v>Combined2017March</v>
      </c>
      <c r="L154" s="2">
        <v>68.948384575167168</v>
      </c>
    </row>
    <row r="155" spans="1:12" x14ac:dyDescent="0.25">
      <c r="A155" s="1" t="s">
        <v>11</v>
      </c>
      <c r="B155" s="1">
        <v>2017</v>
      </c>
      <c r="C155" s="1" t="s">
        <v>16</v>
      </c>
      <c r="D155" s="1" t="s">
        <v>6</v>
      </c>
      <c r="E155" s="1">
        <v>69.402384621356617</v>
      </c>
      <c r="G155" t="s">
        <v>11</v>
      </c>
      <c r="H155">
        <v>2017</v>
      </c>
      <c r="I155" t="s">
        <v>16</v>
      </c>
      <c r="J155" t="s">
        <v>6</v>
      </c>
      <c r="K155" t="str">
        <f t="shared" si="2"/>
        <v>Rural2017April</v>
      </c>
      <c r="L155" s="2">
        <v>69.402384621356617</v>
      </c>
    </row>
    <row r="156" spans="1:12" x14ac:dyDescent="0.25">
      <c r="A156" s="1" t="s">
        <v>11</v>
      </c>
      <c r="B156" s="1">
        <v>2017</v>
      </c>
      <c r="C156" s="1" t="s">
        <v>16</v>
      </c>
      <c r="D156" s="1" t="s">
        <v>7</v>
      </c>
      <c r="E156" s="1">
        <v>68.687441682677232</v>
      </c>
      <c r="G156" t="s">
        <v>11</v>
      </c>
      <c r="H156">
        <v>2017</v>
      </c>
      <c r="I156" t="s">
        <v>16</v>
      </c>
      <c r="J156" t="s">
        <v>7</v>
      </c>
      <c r="K156" t="str">
        <f t="shared" si="2"/>
        <v>Urban2017April</v>
      </c>
      <c r="L156" s="2">
        <v>68.687441682677232</v>
      </c>
    </row>
    <row r="157" spans="1:12" x14ac:dyDescent="0.25">
      <c r="A157" s="1" t="s">
        <v>11</v>
      </c>
      <c r="B157" s="1">
        <v>2017</v>
      </c>
      <c r="C157" s="1" t="s">
        <v>16</v>
      </c>
      <c r="D157" s="1" t="s">
        <v>8</v>
      </c>
      <c r="E157" s="1">
        <v>69.053729700568482</v>
      </c>
      <c r="G157" t="s">
        <v>11</v>
      </c>
      <c r="H157">
        <v>2017</v>
      </c>
      <c r="I157" t="s">
        <v>16</v>
      </c>
      <c r="J157" t="s">
        <v>8</v>
      </c>
      <c r="K157" t="str">
        <f t="shared" si="2"/>
        <v>Combined2017April</v>
      </c>
      <c r="L157" s="2">
        <v>69.053729700568482</v>
      </c>
    </row>
    <row r="158" spans="1:12" x14ac:dyDescent="0.25">
      <c r="A158" s="1" t="s">
        <v>11</v>
      </c>
      <c r="B158" s="1">
        <v>2017</v>
      </c>
      <c r="C158" s="1" t="s">
        <v>17</v>
      </c>
      <c r="D158" s="1" t="s">
        <v>6</v>
      </c>
      <c r="E158" s="1">
        <v>69.611270654829468</v>
      </c>
      <c r="G158" t="s">
        <v>11</v>
      </c>
      <c r="H158">
        <v>2017</v>
      </c>
      <c r="I158" t="s">
        <v>17</v>
      </c>
      <c r="J158" t="s">
        <v>6</v>
      </c>
      <c r="K158" t="str">
        <f t="shared" si="2"/>
        <v>Rural2017May</v>
      </c>
      <c r="L158" s="2">
        <v>69.611270654829468</v>
      </c>
    </row>
    <row r="159" spans="1:12" x14ac:dyDescent="0.25">
      <c r="A159" s="1" t="s">
        <v>11</v>
      </c>
      <c r="B159" s="1">
        <v>2017</v>
      </c>
      <c r="C159" s="1" t="s">
        <v>17</v>
      </c>
      <c r="D159" s="1" t="s">
        <v>7</v>
      </c>
      <c r="E159" s="1">
        <v>68.793851352208875</v>
      </c>
      <c r="G159" t="s">
        <v>11</v>
      </c>
      <c r="H159">
        <v>2017</v>
      </c>
      <c r="I159" t="s">
        <v>17</v>
      </c>
      <c r="J159" t="s">
        <v>7</v>
      </c>
      <c r="K159" t="str">
        <f t="shared" si="2"/>
        <v>Urban2017May</v>
      </c>
      <c r="L159" s="2">
        <v>68.793851352208875</v>
      </c>
    </row>
    <row r="160" spans="1:12" x14ac:dyDescent="0.25">
      <c r="A160" s="1" t="s">
        <v>11</v>
      </c>
      <c r="B160" s="1">
        <v>2017</v>
      </c>
      <c r="C160" s="1" t="s">
        <v>17</v>
      </c>
      <c r="D160" s="1" t="s">
        <v>8</v>
      </c>
      <c r="E160" s="1">
        <v>69.211747388670474</v>
      </c>
      <c r="G160" t="s">
        <v>11</v>
      </c>
      <c r="H160">
        <v>2017</v>
      </c>
      <c r="I160" t="s">
        <v>17</v>
      </c>
      <c r="J160" t="s">
        <v>8</v>
      </c>
      <c r="K160" t="str">
        <f t="shared" si="2"/>
        <v>Combined2017May</v>
      </c>
      <c r="L160" s="2">
        <v>69.211747388670474</v>
      </c>
    </row>
    <row r="161" spans="1:12" x14ac:dyDescent="0.25">
      <c r="A161" s="1" t="s">
        <v>11</v>
      </c>
      <c r="B161" s="1">
        <v>2017</v>
      </c>
      <c r="C161" s="1" t="s">
        <v>18</v>
      </c>
      <c r="D161" s="1" t="s">
        <v>6</v>
      </c>
      <c r="E161" s="1">
        <v>69.924599705038759</v>
      </c>
      <c r="G161" t="s">
        <v>11</v>
      </c>
      <c r="H161">
        <v>2017</v>
      </c>
      <c r="I161" t="s">
        <v>18</v>
      </c>
      <c r="J161" t="s">
        <v>6</v>
      </c>
      <c r="K161" t="str">
        <f t="shared" si="2"/>
        <v>Rural2017June</v>
      </c>
      <c r="L161" s="2">
        <v>69.924599705038759</v>
      </c>
    </row>
    <row r="162" spans="1:12" x14ac:dyDescent="0.25">
      <c r="A162" s="1" t="s">
        <v>11</v>
      </c>
      <c r="B162" s="1">
        <v>2017</v>
      </c>
      <c r="C162" s="1" t="s">
        <v>18</v>
      </c>
      <c r="D162" s="1" t="s">
        <v>7</v>
      </c>
      <c r="E162" s="1">
        <v>69.113080360803821</v>
      </c>
      <c r="G162" t="s">
        <v>11</v>
      </c>
      <c r="H162">
        <v>2017</v>
      </c>
      <c r="I162" t="s">
        <v>18</v>
      </c>
      <c r="J162" t="s">
        <v>7</v>
      </c>
      <c r="K162" t="str">
        <f t="shared" si="2"/>
        <v>Urban2017June</v>
      </c>
      <c r="L162" s="2">
        <v>69.113080360803821</v>
      </c>
    </row>
    <row r="163" spans="1:12" x14ac:dyDescent="0.25">
      <c r="A163" s="1" t="s">
        <v>11</v>
      </c>
      <c r="B163" s="1">
        <v>2017</v>
      </c>
      <c r="C163" s="1" t="s">
        <v>18</v>
      </c>
      <c r="D163" s="1" t="s">
        <v>8</v>
      </c>
      <c r="E163" s="1">
        <v>69.527782764874445</v>
      </c>
      <c r="G163" t="s">
        <v>11</v>
      </c>
      <c r="H163">
        <v>2017</v>
      </c>
      <c r="I163" t="s">
        <v>18</v>
      </c>
      <c r="J163" t="s">
        <v>8</v>
      </c>
      <c r="K163" t="str">
        <f t="shared" si="2"/>
        <v>Combined2017June</v>
      </c>
      <c r="L163" s="2">
        <v>69.527782764874445</v>
      </c>
    </row>
    <row r="164" spans="1:12" x14ac:dyDescent="0.25">
      <c r="A164" s="1" t="s">
        <v>11</v>
      </c>
      <c r="B164" s="1">
        <v>2017</v>
      </c>
      <c r="C164" s="1" t="s">
        <v>19</v>
      </c>
      <c r="D164" s="1" t="s">
        <v>6</v>
      </c>
      <c r="E164" s="1">
        <v>71.125694397507672</v>
      </c>
      <c r="G164" t="s">
        <v>11</v>
      </c>
      <c r="H164">
        <v>2017</v>
      </c>
      <c r="I164" t="s">
        <v>19</v>
      </c>
      <c r="J164" t="s">
        <v>6</v>
      </c>
      <c r="K164" t="str">
        <f t="shared" si="2"/>
        <v>Rural2017July</v>
      </c>
      <c r="L164" s="2">
        <v>71.125694397507672</v>
      </c>
    </row>
    <row r="165" spans="1:12" x14ac:dyDescent="0.25">
      <c r="A165" s="1" t="s">
        <v>11</v>
      </c>
      <c r="B165" s="1">
        <v>2017</v>
      </c>
      <c r="C165" s="1" t="s">
        <v>19</v>
      </c>
      <c r="D165" s="1" t="s">
        <v>7</v>
      </c>
      <c r="E165" s="1">
        <v>70.12397222135445</v>
      </c>
      <c r="G165" t="s">
        <v>11</v>
      </c>
      <c r="H165">
        <v>2017</v>
      </c>
      <c r="I165" t="s">
        <v>19</v>
      </c>
      <c r="J165" t="s">
        <v>7</v>
      </c>
      <c r="K165" t="str">
        <f t="shared" si="2"/>
        <v>Urban2017July</v>
      </c>
      <c r="L165" s="2">
        <v>70.12397222135445</v>
      </c>
    </row>
    <row r="166" spans="1:12" x14ac:dyDescent="0.25">
      <c r="A166" s="1" t="s">
        <v>11</v>
      </c>
      <c r="B166" s="1">
        <v>2017</v>
      </c>
      <c r="C166" s="1" t="s">
        <v>19</v>
      </c>
      <c r="D166" s="1" t="s">
        <v>8</v>
      </c>
      <c r="E166" s="1">
        <v>70.686579144289013</v>
      </c>
      <c r="G166" t="s">
        <v>11</v>
      </c>
      <c r="H166">
        <v>2017</v>
      </c>
      <c r="I166" t="s">
        <v>19</v>
      </c>
      <c r="J166" t="s">
        <v>8</v>
      </c>
      <c r="K166" t="str">
        <f t="shared" si="2"/>
        <v>Combined2017July</v>
      </c>
      <c r="L166" s="2">
        <v>70.686579144289013</v>
      </c>
    </row>
    <row r="167" spans="1:12" x14ac:dyDescent="0.25">
      <c r="A167" s="1" t="s">
        <v>11</v>
      </c>
      <c r="B167" s="1">
        <v>2017</v>
      </c>
      <c r="C167" s="1" t="s">
        <v>20</v>
      </c>
      <c r="D167" s="1" t="s">
        <v>6</v>
      </c>
      <c r="E167" s="1">
        <v>71.961238531399104</v>
      </c>
      <c r="G167" t="s">
        <v>11</v>
      </c>
      <c r="H167">
        <v>2017</v>
      </c>
      <c r="I167" t="s">
        <v>20</v>
      </c>
      <c r="J167" t="s">
        <v>6</v>
      </c>
      <c r="K167" t="str">
        <f t="shared" si="2"/>
        <v>Rural2017August</v>
      </c>
      <c r="L167" s="2">
        <v>71.961238531399104</v>
      </c>
    </row>
    <row r="168" spans="1:12" x14ac:dyDescent="0.25">
      <c r="A168" s="1" t="s">
        <v>11</v>
      </c>
      <c r="B168" s="1">
        <v>2017</v>
      </c>
      <c r="C168" s="1" t="s">
        <v>20</v>
      </c>
      <c r="D168" s="1" t="s">
        <v>7</v>
      </c>
      <c r="E168" s="1">
        <v>70.602815734246846</v>
      </c>
      <c r="G168" t="s">
        <v>11</v>
      </c>
      <c r="H168">
        <v>2017</v>
      </c>
      <c r="I168" t="s">
        <v>20</v>
      </c>
      <c r="J168" t="s">
        <v>7</v>
      </c>
      <c r="K168" t="str">
        <f t="shared" si="2"/>
        <v>Urban2017August</v>
      </c>
      <c r="L168" s="2">
        <v>70.602815734246846</v>
      </c>
    </row>
    <row r="169" spans="1:12" x14ac:dyDescent="0.25">
      <c r="A169" s="1" t="s">
        <v>11</v>
      </c>
      <c r="B169" s="1">
        <v>2017</v>
      </c>
      <c r="C169" s="1" t="s">
        <v>20</v>
      </c>
      <c r="D169" s="1" t="s">
        <v>8</v>
      </c>
      <c r="E169" s="1">
        <v>71.318649896696982</v>
      </c>
      <c r="G169" t="s">
        <v>11</v>
      </c>
      <c r="H169">
        <v>2017</v>
      </c>
      <c r="I169" t="s">
        <v>20</v>
      </c>
      <c r="J169" t="s">
        <v>8</v>
      </c>
      <c r="K169" t="str">
        <f t="shared" si="2"/>
        <v>Combined2017August</v>
      </c>
      <c r="L169" s="2">
        <v>71.318649896696982</v>
      </c>
    </row>
    <row r="170" spans="1:12" x14ac:dyDescent="0.25">
      <c r="A170" s="1" t="s">
        <v>11</v>
      </c>
      <c r="B170" s="1">
        <v>2017</v>
      </c>
      <c r="C170" s="1" t="s">
        <v>21</v>
      </c>
      <c r="D170" s="1" t="s">
        <v>6</v>
      </c>
      <c r="E170" s="1">
        <v>71.856795514662679</v>
      </c>
      <c r="G170" t="s">
        <v>11</v>
      </c>
      <c r="H170">
        <v>2017</v>
      </c>
      <c r="I170" t="s">
        <v>21</v>
      </c>
      <c r="J170" t="s">
        <v>6</v>
      </c>
      <c r="K170" t="str">
        <f t="shared" si="2"/>
        <v>Rural2017September</v>
      </c>
      <c r="L170" s="2">
        <v>71.856795514662679</v>
      </c>
    </row>
    <row r="171" spans="1:12" x14ac:dyDescent="0.25">
      <c r="A171" s="1" t="s">
        <v>11</v>
      </c>
      <c r="B171" s="1">
        <v>2017</v>
      </c>
      <c r="C171" s="1" t="s">
        <v>21</v>
      </c>
      <c r="D171" s="1" t="s">
        <v>7</v>
      </c>
      <c r="E171" s="1">
        <v>70.443201229949381</v>
      </c>
      <c r="G171" t="s">
        <v>11</v>
      </c>
      <c r="H171">
        <v>2017</v>
      </c>
      <c r="I171" t="s">
        <v>21</v>
      </c>
      <c r="J171" t="s">
        <v>7</v>
      </c>
      <c r="K171" t="str">
        <f t="shared" si="2"/>
        <v>Urban2017September</v>
      </c>
      <c r="L171" s="2">
        <v>70.443201229949381</v>
      </c>
    </row>
    <row r="172" spans="1:12" x14ac:dyDescent="0.25">
      <c r="A172" s="1" t="s">
        <v>11</v>
      </c>
      <c r="B172" s="1">
        <v>2017</v>
      </c>
      <c r="C172" s="1" t="s">
        <v>21</v>
      </c>
      <c r="D172" s="1" t="s">
        <v>8</v>
      </c>
      <c r="E172" s="1">
        <v>71.21330477129564</v>
      </c>
      <c r="G172" t="s">
        <v>11</v>
      </c>
      <c r="H172">
        <v>2017</v>
      </c>
      <c r="I172" t="s">
        <v>21</v>
      </c>
      <c r="J172" t="s">
        <v>8</v>
      </c>
      <c r="K172" t="str">
        <f t="shared" si="2"/>
        <v>Combined2017September</v>
      </c>
      <c r="L172" s="2">
        <v>71.21330477129564</v>
      </c>
    </row>
    <row r="173" spans="1:12" x14ac:dyDescent="0.25">
      <c r="A173" s="1" t="s">
        <v>11</v>
      </c>
      <c r="B173" s="1">
        <v>2017</v>
      </c>
      <c r="C173" s="1" t="s">
        <v>22</v>
      </c>
      <c r="D173" s="1" t="s">
        <v>6</v>
      </c>
      <c r="E173" s="1">
        <v>72.222346073240175</v>
      </c>
      <c r="G173" t="s">
        <v>11</v>
      </c>
      <c r="H173">
        <v>2017</v>
      </c>
      <c r="I173" t="s">
        <v>22</v>
      </c>
      <c r="J173" t="s">
        <v>6</v>
      </c>
      <c r="K173" t="str">
        <f t="shared" si="2"/>
        <v>Rural2017October</v>
      </c>
      <c r="L173" s="2">
        <v>72.222346073240175</v>
      </c>
    </row>
    <row r="174" spans="1:12" x14ac:dyDescent="0.25">
      <c r="A174" s="1" t="s">
        <v>11</v>
      </c>
      <c r="B174" s="1">
        <v>2017</v>
      </c>
      <c r="C174" s="1" t="s">
        <v>22</v>
      </c>
      <c r="D174" s="1" t="s">
        <v>7</v>
      </c>
      <c r="E174" s="1">
        <v>71.028454412373435</v>
      </c>
      <c r="G174" t="s">
        <v>11</v>
      </c>
      <c r="H174">
        <v>2017</v>
      </c>
      <c r="I174" t="s">
        <v>22</v>
      </c>
      <c r="J174" t="s">
        <v>7</v>
      </c>
      <c r="K174" t="str">
        <f t="shared" si="2"/>
        <v>Urban2017October</v>
      </c>
      <c r="L174" s="2">
        <v>71.028454412373435</v>
      </c>
    </row>
    <row r="175" spans="1:12" x14ac:dyDescent="0.25">
      <c r="A175" s="1" t="s">
        <v>11</v>
      </c>
      <c r="B175" s="1">
        <v>2017</v>
      </c>
      <c r="C175" s="1" t="s">
        <v>22</v>
      </c>
      <c r="D175" s="1" t="s">
        <v>8</v>
      </c>
      <c r="E175" s="1">
        <v>71.687357835601603</v>
      </c>
      <c r="G175" t="s">
        <v>11</v>
      </c>
      <c r="H175">
        <v>2017</v>
      </c>
      <c r="I175" t="s">
        <v>22</v>
      </c>
      <c r="J175" t="s">
        <v>8</v>
      </c>
      <c r="K175" t="str">
        <f t="shared" si="2"/>
        <v>Combined2017October</v>
      </c>
      <c r="L175" s="2">
        <v>71.687357835601603</v>
      </c>
    </row>
    <row r="176" spans="1:12" x14ac:dyDescent="0.25">
      <c r="A176" s="1" t="s">
        <v>11</v>
      </c>
      <c r="B176" s="1">
        <v>2017</v>
      </c>
      <c r="C176" s="1" t="s">
        <v>23</v>
      </c>
      <c r="D176" s="1" t="s">
        <v>6</v>
      </c>
      <c r="E176" s="1">
        <v>73.110111715499812</v>
      </c>
      <c r="G176" t="s">
        <v>11</v>
      </c>
      <c r="H176">
        <v>2017</v>
      </c>
      <c r="I176" t="s">
        <v>23</v>
      </c>
      <c r="J176" t="s">
        <v>6</v>
      </c>
      <c r="K176" t="str">
        <f t="shared" si="2"/>
        <v>Rural2017November</v>
      </c>
      <c r="L176" s="2">
        <v>73.110111715499812</v>
      </c>
    </row>
    <row r="177" spans="1:12" x14ac:dyDescent="0.25">
      <c r="A177" s="1" t="s">
        <v>11</v>
      </c>
      <c r="B177" s="1">
        <v>2017</v>
      </c>
      <c r="C177" s="1" t="s">
        <v>23</v>
      </c>
      <c r="D177" s="1" t="s">
        <v>7</v>
      </c>
      <c r="E177" s="1">
        <v>71.720117264329133</v>
      </c>
      <c r="G177" t="s">
        <v>11</v>
      </c>
      <c r="H177">
        <v>2017</v>
      </c>
      <c r="I177" t="s">
        <v>23</v>
      </c>
      <c r="J177" t="s">
        <v>7</v>
      </c>
      <c r="K177" t="str">
        <f t="shared" si="2"/>
        <v>Urban2017November</v>
      </c>
      <c r="L177" s="2">
        <v>71.720117264329133</v>
      </c>
    </row>
    <row r="178" spans="1:12" x14ac:dyDescent="0.25">
      <c r="A178" s="1" t="s">
        <v>11</v>
      </c>
      <c r="B178" s="1">
        <v>2017</v>
      </c>
      <c r="C178" s="1" t="s">
        <v>23</v>
      </c>
      <c r="D178" s="1" t="s">
        <v>8</v>
      </c>
      <c r="E178" s="1">
        <v>72.47744627611155</v>
      </c>
      <c r="G178" t="s">
        <v>11</v>
      </c>
      <c r="H178">
        <v>2017</v>
      </c>
      <c r="I178" t="s">
        <v>23</v>
      </c>
      <c r="J178" t="s">
        <v>8</v>
      </c>
      <c r="K178" t="str">
        <f t="shared" si="2"/>
        <v>Combined2017November</v>
      </c>
      <c r="L178" s="2">
        <v>72.47744627611155</v>
      </c>
    </row>
    <row r="179" spans="1:12" x14ac:dyDescent="0.25">
      <c r="A179" s="1" t="s">
        <v>11</v>
      </c>
      <c r="B179" s="1">
        <v>2017</v>
      </c>
      <c r="C179" s="1" t="s">
        <v>24</v>
      </c>
      <c r="D179" s="1" t="s">
        <v>6</v>
      </c>
      <c r="E179" s="1">
        <v>73.005668698763387</v>
      </c>
      <c r="G179" t="s">
        <v>11</v>
      </c>
      <c r="H179">
        <v>2017</v>
      </c>
      <c r="I179" t="s">
        <v>24</v>
      </c>
      <c r="J179" t="s">
        <v>6</v>
      </c>
      <c r="K179" t="str">
        <f t="shared" si="2"/>
        <v>Rural2017December</v>
      </c>
      <c r="L179" s="2">
        <v>73.005668698763387</v>
      </c>
    </row>
    <row r="180" spans="1:12" x14ac:dyDescent="0.25">
      <c r="A180" s="1" t="s">
        <v>11</v>
      </c>
      <c r="B180" s="1">
        <v>2017</v>
      </c>
      <c r="C180" s="1" t="s">
        <v>24</v>
      </c>
      <c r="D180" s="1" t="s">
        <v>7</v>
      </c>
      <c r="E180" s="1">
        <v>71.347683420968366</v>
      </c>
      <c r="G180" t="s">
        <v>11</v>
      </c>
      <c r="H180">
        <v>2017</v>
      </c>
      <c r="I180" t="s">
        <v>24</v>
      </c>
      <c r="J180" t="s">
        <v>7</v>
      </c>
      <c r="K180" t="str">
        <f t="shared" si="2"/>
        <v>Urban2017December</v>
      </c>
      <c r="L180" s="2">
        <v>71.347683420968366</v>
      </c>
    </row>
    <row r="181" spans="1:12" x14ac:dyDescent="0.25">
      <c r="A181" s="1" t="s">
        <v>11</v>
      </c>
      <c r="B181" s="1">
        <v>2017</v>
      </c>
      <c r="C181" s="1" t="s">
        <v>24</v>
      </c>
      <c r="D181" s="1" t="s">
        <v>8</v>
      </c>
      <c r="E181" s="1">
        <v>72.266756025308894</v>
      </c>
      <c r="G181" t="s">
        <v>11</v>
      </c>
      <c r="H181">
        <v>2017</v>
      </c>
      <c r="I181" t="s">
        <v>24</v>
      </c>
      <c r="J181" t="s">
        <v>8</v>
      </c>
      <c r="K181" t="str">
        <f t="shared" si="2"/>
        <v>Combined2017December</v>
      </c>
      <c r="L181" s="2">
        <v>72.266756025308894</v>
      </c>
    </row>
    <row r="182" spans="1:12" x14ac:dyDescent="0.25">
      <c r="A182" s="1" t="s">
        <v>11</v>
      </c>
      <c r="B182" s="1">
        <v>2018</v>
      </c>
      <c r="C182" s="1" t="s">
        <v>10</v>
      </c>
      <c r="D182" s="1" t="s">
        <v>6</v>
      </c>
      <c r="E182" s="1">
        <v>72.744561156922316</v>
      </c>
      <c r="G182" t="s">
        <v>11</v>
      </c>
      <c r="H182">
        <v>2018</v>
      </c>
      <c r="I182" t="s">
        <v>10</v>
      </c>
      <c r="J182" t="s">
        <v>6</v>
      </c>
      <c r="K182" t="str">
        <f t="shared" si="2"/>
        <v>Rural2018January</v>
      </c>
      <c r="L182" s="2">
        <v>72.744561156922316</v>
      </c>
    </row>
    <row r="183" spans="1:12" x14ac:dyDescent="0.25">
      <c r="A183" s="1" t="s">
        <v>11</v>
      </c>
      <c r="B183" s="1">
        <v>2018</v>
      </c>
      <c r="C183" s="1" t="s">
        <v>10</v>
      </c>
      <c r="D183" s="1" t="s">
        <v>7</v>
      </c>
      <c r="E183" s="1">
        <v>71.347683420968366</v>
      </c>
      <c r="G183" t="s">
        <v>11</v>
      </c>
      <c r="H183">
        <v>2018</v>
      </c>
      <c r="I183" t="s">
        <v>10</v>
      </c>
      <c r="J183" t="s">
        <v>7</v>
      </c>
      <c r="K183" t="str">
        <f t="shared" si="2"/>
        <v>Urban2018January</v>
      </c>
      <c r="L183" s="2">
        <v>71.347683420968366</v>
      </c>
    </row>
    <row r="184" spans="1:12" x14ac:dyDescent="0.25">
      <c r="A184" s="1" t="s">
        <v>11</v>
      </c>
      <c r="B184" s="1">
        <v>2018</v>
      </c>
      <c r="C184" s="1" t="s">
        <v>10</v>
      </c>
      <c r="D184" s="1" t="s">
        <v>8</v>
      </c>
      <c r="E184" s="1">
        <v>72.108738337206916</v>
      </c>
      <c r="G184" t="s">
        <v>11</v>
      </c>
      <c r="H184">
        <v>2018</v>
      </c>
      <c r="I184" t="s">
        <v>10</v>
      </c>
      <c r="J184" t="s">
        <v>8</v>
      </c>
      <c r="K184" t="str">
        <f t="shared" si="2"/>
        <v>Combined2018January</v>
      </c>
      <c r="L184" s="2">
        <v>72.108738337206916</v>
      </c>
    </row>
    <row r="185" spans="1:12" x14ac:dyDescent="0.25">
      <c r="A185" s="1" t="s">
        <v>11</v>
      </c>
      <c r="B185" s="1">
        <v>2018</v>
      </c>
      <c r="C185" s="1" t="s">
        <v>14</v>
      </c>
      <c r="D185" s="1" t="s">
        <v>6</v>
      </c>
      <c r="E185" s="1">
        <v>72.3267890899766</v>
      </c>
      <c r="G185" t="s">
        <v>11</v>
      </c>
      <c r="H185">
        <v>2018</v>
      </c>
      <c r="I185" t="s">
        <v>14</v>
      </c>
      <c r="J185" t="s">
        <v>6</v>
      </c>
      <c r="K185" t="str">
        <f t="shared" si="2"/>
        <v>Rural2018February</v>
      </c>
      <c r="L185" s="2">
        <v>72.3267890899766</v>
      </c>
    </row>
    <row r="186" spans="1:12" x14ac:dyDescent="0.25">
      <c r="A186" s="1" t="s">
        <v>11</v>
      </c>
      <c r="B186" s="1">
        <v>2018</v>
      </c>
      <c r="C186" s="1" t="s">
        <v>14</v>
      </c>
      <c r="D186" s="1" t="s">
        <v>7</v>
      </c>
      <c r="E186" s="1">
        <v>71.294478586202544</v>
      </c>
      <c r="G186" t="s">
        <v>11</v>
      </c>
      <c r="H186">
        <v>2018</v>
      </c>
      <c r="I186" t="s">
        <v>14</v>
      </c>
      <c r="J186" t="s">
        <v>7</v>
      </c>
      <c r="K186" t="str">
        <f t="shared" si="2"/>
        <v>Urban2018February</v>
      </c>
      <c r="L186" s="2">
        <v>71.294478586202544</v>
      </c>
    </row>
    <row r="187" spans="1:12" x14ac:dyDescent="0.25">
      <c r="A187" s="1" t="s">
        <v>11</v>
      </c>
      <c r="B187" s="1">
        <v>2018</v>
      </c>
      <c r="C187" s="1" t="s">
        <v>14</v>
      </c>
      <c r="D187" s="1" t="s">
        <v>8</v>
      </c>
      <c r="E187" s="1">
        <v>71.845375523703595</v>
      </c>
      <c r="G187" t="s">
        <v>11</v>
      </c>
      <c r="H187">
        <v>2018</v>
      </c>
      <c r="I187" t="s">
        <v>14</v>
      </c>
      <c r="J187" t="s">
        <v>8</v>
      </c>
      <c r="K187" t="str">
        <f t="shared" si="2"/>
        <v>Combined2018February</v>
      </c>
      <c r="L187" s="2">
        <v>71.845375523703595</v>
      </c>
    </row>
    <row r="188" spans="1:12" x14ac:dyDescent="0.25">
      <c r="A188" s="1" t="s">
        <v>11</v>
      </c>
      <c r="B188" s="1">
        <v>2018</v>
      </c>
      <c r="C188" s="1" t="s">
        <v>15</v>
      </c>
      <c r="D188" s="1" t="s">
        <v>6</v>
      </c>
      <c r="E188" s="1">
        <v>72.431232106713026</v>
      </c>
      <c r="G188" t="s">
        <v>11</v>
      </c>
      <c r="H188">
        <v>2018</v>
      </c>
      <c r="I188" t="s">
        <v>15</v>
      </c>
      <c r="J188" t="s">
        <v>6</v>
      </c>
      <c r="K188" t="str">
        <f t="shared" si="2"/>
        <v>Rural2018March</v>
      </c>
      <c r="L188" s="2">
        <v>72.431232106713026</v>
      </c>
    </row>
    <row r="189" spans="1:12" x14ac:dyDescent="0.25">
      <c r="A189" s="1" t="s">
        <v>11</v>
      </c>
      <c r="B189" s="1">
        <v>2018</v>
      </c>
      <c r="C189" s="1" t="s">
        <v>15</v>
      </c>
      <c r="D189" s="1" t="s">
        <v>7</v>
      </c>
      <c r="E189" s="1">
        <v>71.294478586202544</v>
      </c>
      <c r="G189" t="s">
        <v>11</v>
      </c>
      <c r="H189">
        <v>2018</v>
      </c>
      <c r="I189" t="s">
        <v>15</v>
      </c>
      <c r="J189" t="s">
        <v>7</v>
      </c>
      <c r="K189" t="str">
        <f t="shared" si="2"/>
        <v>Urban2018March</v>
      </c>
      <c r="L189" s="2">
        <v>71.294478586202544</v>
      </c>
    </row>
    <row r="190" spans="1:12" x14ac:dyDescent="0.25">
      <c r="A190" s="1" t="s">
        <v>11</v>
      </c>
      <c r="B190" s="1">
        <v>2018</v>
      </c>
      <c r="C190" s="1" t="s">
        <v>15</v>
      </c>
      <c r="D190" s="1" t="s">
        <v>8</v>
      </c>
      <c r="E190" s="1">
        <v>71.898048086404259</v>
      </c>
      <c r="G190" t="s">
        <v>11</v>
      </c>
      <c r="H190">
        <v>2018</v>
      </c>
      <c r="I190" t="s">
        <v>15</v>
      </c>
      <c r="J190" t="s">
        <v>8</v>
      </c>
      <c r="K190" t="str">
        <f t="shared" si="2"/>
        <v>Combined2018March</v>
      </c>
      <c r="L190" s="2">
        <v>71.898048086404259</v>
      </c>
    </row>
    <row r="191" spans="1:12" x14ac:dyDescent="0.25">
      <c r="A191" s="1" t="s">
        <v>11</v>
      </c>
      <c r="B191" s="1">
        <v>2018</v>
      </c>
      <c r="C191" s="1" t="s">
        <v>16</v>
      </c>
      <c r="D191" s="1" t="s">
        <v>6</v>
      </c>
      <c r="E191" s="1">
        <v>72.640118140185891</v>
      </c>
      <c r="G191" t="s">
        <v>11</v>
      </c>
      <c r="H191">
        <v>2018</v>
      </c>
      <c r="I191" t="s">
        <v>16</v>
      </c>
      <c r="J191" t="s">
        <v>6</v>
      </c>
      <c r="K191" t="str">
        <f t="shared" si="2"/>
        <v>Rural2018April</v>
      </c>
      <c r="L191" s="2">
        <v>72.640118140185891</v>
      </c>
    </row>
    <row r="192" spans="1:12" x14ac:dyDescent="0.25">
      <c r="A192" s="1" t="s">
        <v>11</v>
      </c>
      <c r="B192" s="1">
        <v>2018</v>
      </c>
      <c r="C192" s="1" t="s">
        <v>16</v>
      </c>
      <c r="D192" s="1" t="s">
        <v>7</v>
      </c>
      <c r="E192" s="1">
        <v>71.720117264329133</v>
      </c>
      <c r="G192" t="s">
        <v>11</v>
      </c>
      <c r="H192">
        <v>2018</v>
      </c>
      <c r="I192" t="s">
        <v>16</v>
      </c>
      <c r="J192" t="s">
        <v>7</v>
      </c>
      <c r="K192" t="str">
        <f t="shared" si="2"/>
        <v>Urban2018April</v>
      </c>
      <c r="L192" s="2">
        <v>71.720117264329133</v>
      </c>
    </row>
    <row r="193" spans="1:12" x14ac:dyDescent="0.25">
      <c r="A193" s="1" t="s">
        <v>11</v>
      </c>
      <c r="B193" s="1">
        <v>2018</v>
      </c>
      <c r="C193" s="1" t="s">
        <v>16</v>
      </c>
      <c r="D193" s="1" t="s">
        <v>8</v>
      </c>
      <c r="E193" s="1">
        <v>72.21408346260823</v>
      </c>
      <c r="G193" t="s">
        <v>11</v>
      </c>
      <c r="H193">
        <v>2018</v>
      </c>
      <c r="I193" t="s">
        <v>16</v>
      </c>
      <c r="J193" t="s">
        <v>8</v>
      </c>
      <c r="K193" t="str">
        <f t="shared" si="2"/>
        <v>Combined2018April</v>
      </c>
      <c r="L193" s="2">
        <v>72.21408346260823</v>
      </c>
    </row>
    <row r="194" spans="1:12" x14ac:dyDescent="0.25">
      <c r="A194" s="1" t="s">
        <v>11</v>
      </c>
      <c r="B194" s="1">
        <v>2018</v>
      </c>
      <c r="C194" s="1" t="s">
        <v>17</v>
      </c>
      <c r="D194" s="1" t="s">
        <v>6</v>
      </c>
      <c r="E194" s="1">
        <v>73.005668698763387</v>
      </c>
      <c r="G194" t="s">
        <v>11</v>
      </c>
      <c r="H194">
        <v>2018</v>
      </c>
      <c r="I194" t="s">
        <v>17</v>
      </c>
      <c r="J194" t="s">
        <v>6</v>
      </c>
      <c r="K194" t="str">
        <f t="shared" si="2"/>
        <v>Rural2018May</v>
      </c>
      <c r="L194" s="2">
        <v>73.005668698763387</v>
      </c>
    </row>
    <row r="195" spans="1:12" x14ac:dyDescent="0.25">
      <c r="A195" s="1" t="s">
        <v>11</v>
      </c>
      <c r="B195" s="1">
        <v>2018</v>
      </c>
      <c r="C195" s="1" t="s">
        <v>17</v>
      </c>
      <c r="D195" s="1" t="s">
        <v>7</v>
      </c>
      <c r="E195" s="1">
        <v>72.039346272924064</v>
      </c>
      <c r="G195" t="s">
        <v>11</v>
      </c>
      <c r="H195">
        <v>2018</v>
      </c>
      <c r="I195" t="s">
        <v>17</v>
      </c>
      <c r="J195" t="s">
        <v>7</v>
      </c>
      <c r="K195" t="str">
        <f t="shared" ref="K195:K258" si="3">CONCATENATE(J195,H195,I195)</f>
        <v>Urban2018May</v>
      </c>
      <c r="L195" s="2">
        <v>72.039346272924064</v>
      </c>
    </row>
    <row r="196" spans="1:12" x14ac:dyDescent="0.25">
      <c r="A196" s="1" t="s">
        <v>11</v>
      </c>
      <c r="B196" s="1">
        <v>2018</v>
      </c>
      <c r="C196" s="1" t="s">
        <v>17</v>
      </c>
      <c r="D196" s="1" t="s">
        <v>8</v>
      </c>
      <c r="E196" s="1">
        <v>72.582791401512878</v>
      </c>
      <c r="G196" t="s">
        <v>11</v>
      </c>
      <c r="H196">
        <v>2018</v>
      </c>
      <c r="I196" t="s">
        <v>17</v>
      </c>
      <c r="J196" t="s">
        <v>8</v>
      </c>
      <c r="K196" t="str">
        <f t="shared" si="3"/>
        <v>Combined2018May</v>
      </c>
      <c r="L196" s="2">
        <v>72.582791401512878</v>
      </c>
    </row>
    <row r="197" spans="1:12" x14ac:dyDescent="0.25">
      <c r="A197" s="1" t="s">
        <v>11</v>
      </c>
      <c r="B197" s="1">
        <v>2018</v>
      </c>
      <c r="C197" s="1" t="s">
        <v>18</v>
      </c>
      <c r="D197" s="1" t="s">
        <v>6</v>
      </c>
      <c r="E197" s="1">
        <v>73.371219257340883</v>
      </c>
      <c r="G197" t="s">
        <v>11</v>
      </c>
      <c r="H197">
        <v>2018</v>
      </c>
      <c r="I197" t="s">
        <v>18</v>
      </c>
      <c r="J197" t="s">
        <v>6</v>
      </c>
      <c r="K197" t="str">
        <f t="shared" si="3"/>
        <v>Rural2018June</v>
      </c>
      <c r="L197" s="2">
        <v>73.371219257340883</v>
      </c>
    </row>
    <row r="198" spans="1:12" x14ac:dyDescent="0.25">
      <c r="A198" s="1" t="s">
        <v>11</v>
      </c>
      <c r="B198" s="1">
        <v>2018</v>
      </c>
      <c r="C198" s="1" t="s">
        <v>18</v>
      </c>
      <c r="D198" s="1" t="s">
        <v>7</v>
      </c>
      <c r="E198" s="1">
        <v>72.464984951050639</v>
      </c>
      <c r="G198" t="s">
        <v>11</v>
      </c>
      <c r="H198">
        <v>2018</v>
      </c>
      <c r="I198" t="s">
        <v>18</v>
      </c>
      <c r="J198" t="s">
        <v>7</v>
      </c>
      <c r="K198" t="str">
        <f t="shared" si="3"/>
        <v>Urban2018June</v>
      </c>
      <c r="L198" s="2">
        <v>72.464984951050639</v>
      </c>
    </row>
    <row r="199" spans="1:12" x14ac:dyDescent="0.25">
      <c r="A199" s="1" t="s">
        <v>11</v>
      </c>
      <c r="B199" s="1">
        <v>2018</v>
      </c>
      <c r="C199" s="1" t="s">
        <v>18</v>
      </c>
      <c r="D199" s="1" t="s">
        <v>8</v>
      </c>
      <c r="E199" s="1">
        <v>72.951499340417513</v>
      </c>
      <c r="G199" t="s">
        <v>11</v>
      </c>
      <c r="H199">
        <v>2018</v>
      </c>
      <c r="I199" t="s">
        <v>18</v>
      </c>
      <c r="J199" t="s">
        <v>8</v>
      </c>
      <c r="K199" t="str">
        <f t="shared" si="3"/>
        <v>Combined2018June</v>
      </c>
      <c r="L199" s="2">
        <v>72.951499340417513</v>
      </c>
    </row>
    <row r="200" spans="1:12" x14ac:dyDescent="0.25">
      <c r="A200" s="1" t="s">
        <v>11</v>
      </c>
      <c r="B200" s="1">
        <v>2018</v>
      </c>
      <c r="C200" s="1" t="s">
        <v>19</v>
      </c>
      <c r="D200" s="1" t="s">
        <v>6</v>
      </c>
      <c r="E200" s="1">
        <v>74.050098866127669</v>
      </c>
      <c r="G200" t="s">
        <v>11</v>
      </c>
      <c r="H200">
        <v>2018</v>
      </c>
      <c r="I200" t="s">
        <v>19</v>
      </c>
      <c r="J200" t="s">
        <v>6</v>
      </c>
      <c r="K200" t="str">
        <f t="shared" si="3"/>
        <v>Rural2018July</v>
      </c>
      <c r="L200" s="2">
        <v>74.050098866127669</v>
      </c>
    </row>
    <row r="201" spans="1:12" x14ac:dyDescent="0.25">
      <c r="A201" s="1" t="s">
        <v>11</v>
      </c>
      <c r="B201" s="1">
        <v>2018</v>
      </c>
      <c r="C201" s="1" t="s">
        <v>19</v>
      </c>
      <c r="D201" s="1" t="s">
        <v>7</v>
      </c>
      <c r="E201" s="1">
        <v>73.156647803006337</v>
      </c>
      <c r="G201" t="s">
        <v>11</v>
      </c>
      <c r="H201">
        <v>2018</v>
      </c>
      <c r="I201" t="s">
        <v>19</v>
      </c>
      <c r="J201" t="s">
        <v>7</v>
      </c>
      <c r="K201" t="str">
        <f t="shared" si="3"/>
        <v>Urban2018July</v>
      </c>
      <c r="L201" s="2">
        <v>73.156647803006337</v>
      </c>
    </row>
    <row r="202" spans="1:12" x14ac:dyDescent="0.25">
      <c r="A202" s="1" t="s">
        <v>11</v>
      </c>
      <c r="B202" s="1">
        <v>2018</v>
      </c>
      <c r="C202" s="1" t="s">
        <v>19</v>
      </c>
      <c r="D202" s="1" t="s">
        <v>8</v>
      </c>
      <c r="E202" s="1">
        <v>73.636242655526132</v>
      </c>
      <c r="G202" t="s">
        <v>11</v>
      </c>
      <c r="H202">
        <v>2018</v>
      </c>
      <c r="I202" t="s">
        <v>19</v>
      </c>
      <c r="J202" t="s">
        <v>8</v>
      </c>
      <c r="K202" t="str">
        <f t="shared" si="3"/>
        <v>Combined2018July</v>
      </c>
      <c r="L202" s="2">
        <v>73.636242655526132</v>
      </c>
    </row>
    <row r="203" spans="1:12" x14ac:dyDescent="0.25">
      <c r="A203" s="1" t="s">
        <v>11</v>
      </c>
      <c r="B203" s="1">
        <v>2018</v>
      </c>
      <c r="C203" s="1" t="s">
        <v>20</v>
      </c>
      <c r="D203" s="1" t="s">
        <v>6</v>
      </c>
      <c r="E203" s="1">
        <v>74.415649424705165</v>
      </c>
      <c r="G203" t="s">
        <v>11</v>
      </c>
      <c r="H203">
        <v>2018</v>
      </c>
      <c r="I203" t="s">
        <v>20</v>
      </c>
      <c r="J203" t="s">
        <v>6</v>
      </c>
      <c r="K203" t="str">
        <f t="shared" si="3"/>
        <v>Rural2018August</v>
      </c>
      <c r="L203" s="2">
        <v>74.415649424705165</v>
      </c>
    </row>
    <row r="204" spans="1:12" x14ac:dyDescent="0.25">
      <c r="A204" s="1" t="s">
        <v>11</v>
      </c>
      <c r="B204" s="1">
        <v>2018</v>
      </c>
      <c r="C204" s="1" t="s">
        <v>20</v>
      </c>
      <c r="D204" s="1" t="s">
        <v>7</v>
      </c>
      <c r="E204" s="1">
        <v>73.42267197683546</v>
      </c>
      <c r="G204" t="s">
        <v>11</v>
      </c>
      <c r="H204">
        <v>2018</v>
      </c>
      <c r="I204" t="s">
        <v>20</v>
      </c>
      <c r="J204" t="s">
        <v>7</v>
      </c>
      <c r="K204" t="str">
        <f t="shared" si="3"/>
        <v>Urban2018August</v>
      </c>
      <c r="L204" s="2">
        <v>73.42267197683546</v>
      </c>
    </row>
    <row r="205" spans="1:12" x14ac:dyDescent="0.25">
      <c r="A205" s="1" t="s">
        <v>11</v>
      </c>
      <c r="B205" s="1">
        <v>2018</v>
      </c>
      <c r="C205" s="1" t="s">
        <v>20</v>
      </c>
      <c r="D205" s="1" t="s">
        <v>8</v>
      </c>
      <c r="E205" s="1">
        <v>73.952278031730103</v>
      </c>
      <c r="G205" t="s">
        <v>11</v>
      </c>
      <c r="H205">
        <v>2018</v>
      </c>
      <c r="I205" t="s">
        <v>20</v>
      </c>
      <c r="J205" t="s">
        <v>8</v>
      </c>
      <c r="K205" t="str">
        <f t="shared" si="3"/>
        <v>Combined2018August</v>
      </c>
      <c r="L205" s="2">
        <v>73.952278031730103</v>
      </c>
    </row>
    <row r="206" spans="1:12" x14ac:dyDescent="0.25">
      <c r="A206" s="1" t="s">
        <v>11</v>
      </c>
      <c r="B206" s="1">
        <v>2018</v>
      </c>
      <c r="C206" s="1" t="s">
        <v>21</v>
      </c>
      <c r="D206" s="1" t="s">
        <v>6</v>
      </c>
      <c r="E206" s="1">
        <v>74.206763391232315</v>
      </c>
      <c r="G206" t="s">
        <v>11</v>
      </c>
      <c r="H206">
        <v>2018</v>
      </c>
      <c r="I206" t="s">
        <v>21</v>
      </c>
      <c r="J206" t="s">
        <v>6</v>
      </c>
      <c r="K206" t="str">
        <f t="shared" si="3"/>
        <v>Rural2018September</v>
      </c>
      <c r="L206" s="2">
        <v>74.206763391232315</v>
      </c>
    </row>
    <row r="207" spans="1:12" x14ac:dyDescent="0.25">
      <c r="A207" s="1" t="s">
        <v>11</v>
      </c>
      <c r="B207" s="1">
        <v>2018</v>
      </c>
      <c r="C207" s="1" t="s">
        <v>21</v>
      </c>
      <c r="D207" s="1" t="s">
        <v>7</v>
      </c>
      <c r="E207" s="1">
        <v>73.475876811601282</v>
      </c>
      <c r="G207" t="s">
        <v>11</v>
      </c>
      <c r="H207">
        <v>2018</v>
      </c>
      <c r="I207" t="s">
        <v>21</v>
      </c>
      <c r="J207" t="s">
        <v>7</v>
      </c>
      <c r="K207" t="str">
        <f t="shared" si="3"/>
        <v>Urban2018September</v>
      </c>
      <c r="L207" s="2">
        <v>73.475876811601282</v>
      </c>
    </row>
    <row r="208" spans="1:12" x14ac:dyDescent="0.25">
      <c r="A208" s="1" t="s">
        <v>11</v>
      </c>
      <c r="B208" s="1">
        <v>2018</v>
      </c>
      <c r="C208" s="1" t="s">
        <v>21</v>
      </c>
      <c r="D208" s="1" t="s">
        <v>8</v>
      </c>
      <c r="E208" s="1">
        <v>73.84693290632876</v>
      </c>
      <c r="G208" t="s">
        <v>11</v>
      </c>
      <c r="H208">
        <v>2018</v>
      </c>
      <c r="I208" t="s">
        <v>21</v>
      </c>
      <c r="J208" t="s">
        <v>8</v>
      </c>
      <c r="K208" t="str">
        <f t="shared" si="3"/>
        <v>Combined2018September</v>
      </c>
      <c r="L208" s="2">
        <v>73.84693290632876</v>
      </c>
    </row>
    <row r="209" spans="1:12" x14ac:dyDescent="0.25">
      <c r="A209" s="1" t="s">
        <v>11</v>
      </c>
      <c r="B209" s="1">
        <v>2018</v>
      </c>
      <c r="C209" s="1" t="s">
        <v>22</v>
      </c>
      <c r="D209" s="1" t="s">
        <v>6</v>
      </c>
      <c r="E209" s="1">
        <v>74.25898489960052</v>
      </c>
      <c r="G209" t="s">
        <v>11</v>
      </c>
      <c r="H209">
        <v>2018</v>
      </c>
      <c r="I209" t="s">
        <v>22</v>
      </c>
      <c r="J209" t="s">
        <v>6</v>
      </c>
      <c r="K209" t="str">
        <f t="shared" si="3"/>
        <v>Rural2018October</v>
      </c>
      <c r="L209" s="2">
        <v>74.25898489960052</v>
      </c>
    </row>
    <row r="210" spans="1:12" x14ac:dyDescent="0.25">
      <c r="A210" s="1" t="s">
        <v>11</v>
      </c>
      <c r="B210" s="1">
        <v>2018</v>
      </c>
      <c r="C210" s="1" t="s">
        <v>22</v>
      </c>
      <c r="D210" s="1" t="s">
        <v>7</v>
      </c>
      <c r="E210" s="1">
        <v>73.901515489727871</v>
      </c>
      <c r="G210" t="s">
        <v>11</v>
      </c>
      <c r="H210">
        <v>2018</v>
      </c>
      <c r="I210" t="s">
        <v>22</v>
      </c>
      <c r="J210" t="s">
        <v>7</v>
      </c>
      <c r="K210" t="str">
        <f t="shared" si="3"/>
        <v>Urban2018October</v>
      </c>
      <c r="L210" s="2">
        <v>73.901515489727871</v>
      </c>
    </row>
    <row r="211" spans="1:12" x14ac:dyDescent="0.25">
      <c r="A211" s="1" t="s">
        <v>11</v>
      </c>
      <c r="B211" s="1">
        <v>2018</v>
      </c>
      <c r="C211" s="1" t="s">
        <v>22</v>
      </c>
      <c r="D211" s="1" t="s">
        <v>8</v>
      </c>
      <c r="E211" s="1">
        <v>74.110295719832081</v>
      </c>
      <c r="G211" t="s">
        <v>11</v>
      </c>
      <c r="H211">
        <v>2018</v>
      </c>
      <c r="I211" t="s">
        <v>22</v>
      </c>
      <c r="J211" t="s">
        <v>8</v>
      </c>
      <c r="K211" t="str">
        <f t="shared" si="3"/>
        <v>Combined2018October</v>
      </c>
      <c r="L211" s="2">
        <v>74.110295719832081</v>
      </c>
    </row>
    <row r="212" spans="1:12" x14ac:dyDescent="0.25">
      <c r="A212" s="1" t="s">
        <v>11</v>
      </c>
      <c r="B212" s="1">
        <v>2018</v>
      </c>
      <c r="C212" s="1" t="s">
        <v>23</v>
      </c>
      <c r="D212" s="1" t="s">
        <v>6</v>
      </c>
      <c r="E212" s="1">
        <v>74.36342791633696</v>
      </c>
      <c r="G212" t="s">
        <v>11</v>
      </c>
      <c r="H212">
        <v>2018</v>
      </c>
      <c r="I212" t="s">
        <v>23</v>
      </c>
      <c r="J212" t="s">
        <v>6</v>
      </c>
      <c r="K212" t="str">
        <f t="shared" si="3"/>
        <v>Rural2018November</v>
      </c>
      <c r="L212" s="2">
        <v>74.36342791633696</v>
      </c>
    </row>
    <row r="213" spans="1:12" x14ac:dyDescent="0.25">
      <c r="A213" s="1" t="s">
        <v>11</v>
      </c>
      <c r="B213" s="1">
        <v>2018</v>
      </c>
      <c r="C213" s="1" t="s">
        <v>23</v>
      </c>
      <c r="D213" s="1" t="s">
        <v>7</v>
      </c>
      <c r="E213" s="1">
        <v>73.954720324493678</v>
      </c>
      <c r="G213" t="s">
        <v>11</v>
      </c>
      <c r="H213">
        <v>2018</v>
      </c>
      <c r="I213" t="s">
        <v>23</v>
      </c>
      <c r="J213" t="s">
        <v>7</v>
      </c>
      <c r="K213" t="str">
        <f t="shared" si="3"/>
        <v>Urban2018November</v>
      </c>
      <c r="L213" s="2">
        <v>73.954720324493678</v>
      </c>
    </row>
    <row r="214" spans="1:12" x14ac:dyDescent="0.25">
      <c r="A214" s="1" t="s">
        <v>11</v>
      </c>
      <c r="B214" s="1">
        <v>2018</v>
      </c>
      <c r="C214" s="1" t="s">
        <v>23</v>
      </c>
      <c r="D214" s="1" t="s">
        <v>8</v>
      </c>
      <c r="E214" s="1">
        <v>74.162968282532759</v>
      </c>
      <c r="G214" t="s">
        <v>11</v>
      </c>
      <c r="H214">
        <v>2018</v>
      </c>
      <c r="I214" t="s">
        <v>23</v>
      </c>
      <c r="J214" t="s">
        <v>8</v>
      </c>
      <c r="K214" t="str">
        <f t="shared" si="3"/>
        <v>Combined2018November</v>
      </c>
      <c r="L214" s="2">
        <v>74.162968282532759</v>
      </c>
    </row>
    <row r="215" spans="1:12" x14ac:dyDescent="0.25">
      <c r="A215" s="1" t="s">
        <v>11</v>
      </c>
      <c r="B215" s="1">
        <v>2018</v>
      </c>
      <c r="C215" s="1" t="s">
        <v>24</v>
      </c>
      <c r="D215" s="1" t="s">
        <v>6</v>
      </c>
      <c r="E215" s="1">
        <v>74.102320374495889</v>
      </c>
      <c r="G215" t="s">
        <v>11</v>
      </c>
      <c r="H215">
        <v>2018</v>
      </c>
      <c r="I215" t="s">
        <v>24</v>
      </c>
      <c r="J215" t="s">
        <v>6</v>
      </c>
      <c r="K215" t="str">
        <f t="shared" si="3"/>
        <v>Rural2018December</v>
      </c>
      <c r="L215" s="2">
        <v>74.102320374495889</v>
      </c>
    </row>
    <row r="216" spans="1:12" x14ac:dyDescent="0.25">
      <c r="A216" s="1" t="s">
        <v>11</v>
      </c>
      <c r="B216" s="1">
        <v>2018</v>
      </c>
      <c r="C216" s="1" t="s">
        <v>24</v>
      </c>
      <c r="D216" s="1" t="s">
        <v>7</v>
      </c>
      <c r="E216" s="1">
        <v>73.42267197683546</v>
      </c>
      <c r="G216" t="s">
        <v>11</v>
      </c>
      <c r="H216">
        <v>2018</v>
      </c>
      <c r="I216" t="s">
        <v>24</v>
      </c>
      <c r="J216" t="s">
        <v>7</v>
      </c>
      <c r="K216" t="str">
        <f t="shared" si="3"/>
        <v>Urban2018December</v>
      </c>
      <c r="L216" s="2">
        <v>73.42267197683546</v>
      </c>
    </row>
    <row r="217" spans="1:12" x14ac:dyDescent="0.25">
      <c r="A217" s="1" t="s">
        <v>11</v>
      </c>
      <c r="B217" s="1">
        <v>2018</v>
      </c>
      <c r="C217" s="1" t="s">
        <v>24</v>
      </c>
      <c r="D217" s="1" t="s">
        <v>8</v>
      </c>
      <c r="E217" s="1">
        <v>73.79426034362811</v>
      </c>
      <c r="G217" t="s">
        <v>11</v>
      </c>
      <c r="H217">
        <v>2018</v>
      </c>
      <c r="I217" t="s">
        <v>24</v>
      </c>
      <c r="J217" t="s">
        <v>8</v>
      </c>
      <c r="K217" t="str">
        <f t="shared" si="3"/>
        <v>Combined2018December</v>
      </c>
      <c r="L217" s="2">
        <v>73.79426034362811</v>
      </c>
    </row>
    <row r="218" spans="1:12" x14ac:dyDescent="0.25">
      <c r="A218" s="1" t="s">
        <v>11</v>
      </c>
      <c r="B218" s="1">
        <v>2019</v>
      </c>
      <c r="C218" s="1" t="s">
        <v>10</v>
      </c>
      <c r="D218" s="1" t="s">
        <v>6</v>
      </c>
      <c r="E218" s="1">
        <v>73.632326799181953</v>
      </c>
      <c r="G218" t="s">
        <v>11</v>
      </c>
      <c r="H218">
        <v>2019</v>
      </c>
      <c r="I218" t="s">
        <v>10</v>
      </c>
      <c r="J218" t="s">
        <v>6</v>
      </c>
      <c r="K218" t="str">
        <f t="shared" si="3"/>
        <v>Rural2019January</v>
      </c>
      <c r="L218" s="2">
        <v>73.632326799181953</v>
      </c>
    </row>
    <row r="219" spans="1:12" x14ac:dyDescent="0.25">
      <c r="A219" s="1" t="s">
        <v>11</v>
      </c>
      <c r="B219" s="1">
        <v>2019</v>
      </c>
      <c r="C219" s="1" t="s">
        <v>10</v>
      </c>
      <c r="D219" s="1" t="s">
        <v>7</v>
      </c>
      <c r="E219" s="1">
        <v>73.42267197683546</v>
      </c>
      <c r="G219" t="s">
        <v>11</v>
      </c>
      <c r="H219">
        <v>2019</v>
      </c>
      <c r="I219" t="s">
        <v>10</v>
      </c>
      <c r="J219" t="s">
        <v>7</v>
      </c>
      <c r="K219" t="str">
        <f t="shared" si="3"/>
        <v>Urban2019January</v>
      </c>
      <c r="L219" s="2">
        <v>73.42267197683546</v>
      </c>
    </row>
    <row r="220" spans="1:12" x14ac:dyDescent="0.25">
      <c r="A220" s="1" t="s">
        <v>11</v>
      </c>
      <c r="B220" s="1">
        <v>2019</v>
      </c>
      <c r="C220" s="1" t="s">
        <v>10</v>
      </c>
      <c r="D220" s="1" t="s">
        <v>8</v>
      </c>
      <c r="E220" s="1">
        <v>73.53089753012479</v>
      </c>
      <c r="G220" t="s">
        <v>11</v>
      </c>
      <c r="H220">
        <v>2019</v>
      </c>
      <c r="I220" t="s">
        <v>10</v>
      </c>
      <c r="J220" t="s">
        <v>8</v>
      </c>
      <c r="K220" t="str">
        <f t="shared" si="3"/>
        <v>Combined2019January</v>
      </c>
      <c r="L220" s="2">
        <v>73.53089753012479</v>
      </c>
    </row>
    <row r="221" spans="1:12" x14ac:dyDescent="0.25">
      <c r="A221" s="1" t="s">
        <v>11</v>
      </c>
      <c r="B221" s="1">
        <v>2019</v>
      </c>
      <c r="C221" s="1" t="s">
        <v>14</v>
      </c>
      <c r="D221" s="1" t="s">
        <v>6</v>
      </c>
      <c r="E221" s="1">
        <v>73.632326799181953</v>
      </c>
      <c r="G221" t="s">
        <v>11</v>
      </c>
      <c r="H221">
        <v>2019</v>
      </c>
      <c r="I221" t="s">
        <v>14</v>
      </c>
      <c r="J221" t="s">
        <v>6</v>
      </c>
      <c r="K221" t="str">
        <f t="shared" si="3"/>
        <v>Rural2019February</v>
      </c>
      <c r="L221" s="2">
        <v>73.632326799181953</v>
      </c>
    </row>
    <row r="222" spans="1:12" x14ac:dyDescent="0.25">
      <c r="A222" s="1" t="s">
        <v>11</v>
      </c>
      <c r="B222" s="1">
        <v>2019</v>
      </c>
      <c r="C222" s="1" t="s">
        <v>14</v>
      </c>
      <c r="D222" s="1" t="s">
        <v>7</v>
      </c>
      <c r="E222" s="1">
        <v>73.741900985430391</v>
      </c>
      <c r="G222" t="s">
        <v>11</v>
      </c>
      <c r="H222">
        <v>2019</v>
      </c>
      <c r="I222" t="s">
        <v>14</v>
      </c>
      <c r="J222" t="s">
        <v>7</v>
      </c>
      <c r="K222" t="str">
        <f t="shared" si="3"/>
        <v>Urban2019February</v>
      </c>
      <c r="L222" s="2">
        <v>73.741900985430391</v>
      </c>
    </row>
    <row r="223" spans="1:12" x14ac:dyDescent="0.25">
      <c r="A223" s="1" t="s">
        <v>11</v>
      </c>
      <c r="B223" s="1">
        <v>2019</v>
      </c>
      <c r="C223" s="1" t="s">
        <v>14</v>
      </c>
      <c r="D223" s="1" t="s">
        <v>8</v>
      </c>
      <c r="E223" s="1">
        <v>73.688915218226782</v>
      </c>
      <c r="G223" t="s">
        <v>11</v>
      </c>
      <c r="H223">
        <v>2019</v>
      </c>
      <c r="I223" t="s">
        <v>14</v>
      </c>
      <c r="J223" t="s">
        <v>8</v>
      </c>
      <c r="K223" t="str">
        <f t="shared" si="3"/>
        <v>Combined2019February</v>
      </c>
      <c r="L223" s="2">
        <v>73.688915218226782</v>
      </c>
    </row>
    <row r="224" spans="1:12" x14ac:dyDescent="0.25">
      <c r="A224" s="1" t="s">
        <v>11</v>
      </c>
      <c r="B224" s="1">
        <v>2019</v>
      </c>
      <c r="C224" s="1" t="s">
        <v>15</v>
      </c>
      <c r="D224" s="1" t="s">
        <v>6</v>
      </c>
      <c r="E224" s="1">
        <v>73.736769815918379</v>
      </c>
      <c r="G224" t="s">
        <v>11</v>
      </c>
      <c r="H224">
        <v>2019</v>
      </c>
      <c r="I224" t="s">
        <v>15</v>
      </c>
      <c r="J224" t="s">
        <v>6</v>
      </c>
      <c r="K224" t="str">
        <f t="shared" si="3"/>
        <v>Rural2019March</v>
      </c>
      <c r="L224" s="2">
        <v>73.736769815918379</v>
      </c>
    </row>
    <row r="225" spans="1:12" x14ac:dyDescent="0.25">
      <c r="A225" s="1" t="s">
        <v>11</v>
      </c>
      <c r="B225" s="1">
        <v>2019</v>
      </c>
      <c r="C225" s="1" t="s">
        <v>15</v>
      </c>
      <c r="D225" s="1" t="s">
        <v>7</v>
      </c>
      <c r="E225" s="1">
        <v>74.220744498322802</v>
      </c>
      <c r="G225" t="s">
        <v>11</v>
      </c>
      <c r="H225">
        <v>2019</v>
      </c>
      <c r="I225" t="s">
        <v>15</v>
      </c>
      <c r="J225" t="s">
        <v>7</v>
      </c>
      <c r="K225" t="str">
        <f t="shared" si="3"/>
        <v>Urban2019March</v>
      </c>
      <c r="L225" s="2">
        <v>74.220744498322802</v>
      </c>
    </row>
    <row r="226" spans="1:12" x14ac:dyDescent="0.25">
      <c r="A226" s="1" t="s">
        <v>11</v>
      </c>
      <c r="B226" s="1">
        <v>2019</v>
      </c>
      <c r="C226" s="1" t="s">
        <v>15</v>
      </c>
      <c r="D226" s="1" t="s">
        <v>8</v>
      </c>
      <c r="E226" s="1">
        <v>73.952278031730103</v>
      </c>
      <c r="G226" t="s">
        <v>11</v>
      </c>
      <c r="H226">
        <v>2019</v>
      </c>
      <c r="I226" t="s">
        <v>15</v>
      </c>
      <c r="J226" t="s">
        <v>8</v>
      </c>
      <c r="K226" t="str">
        <f t="shared" si="3"/>
        <v>Combined2019March</v>
      </c>
      <c r="L226" s="2">
        <v>73.952278031730103</v>
      </c>
    </row>
    <row r="227" spans="1:12" x14ac:dyDescent="0.25">
      <c r="A227" s="1" t="s">
        <v>11</v>
      </c>
      <c r="B227" s="1">
        <v>2019</v>
      </c>
      <c r="C227" s="1" t="s">
        <v>16</v>
      </c>
      <c r="D227" s="1" t="s">
        <v>6</v>
      </c>
      <c r="E227" s="1">
        <v>73.99787735775945</v>
      </c>
      <c r="G227" t="s">
        <v>11</v>
      </c>
      <c r="H227">
        <v>2019</v>
      </c>
      <c r="I227" t="s">
        <v>16</v>
      </c>
      <c r="J227" t="s">
        <v>6</v>
      </c>
      <c r="K227" t="str">
        <f t="shared" si="3"/>
        <v>Rural2019April</v>
      </c>
      <c r="L227" s="2">
        <v>73.99787735775945</v>
      </c>
    </row>
    <row r="228" spans="1:12" x14ac:dyDescent="0.25">
      <c r="A228" s="1" t="s">
        <v>11</v>
      </c>
      <c r="B228" s="1">
        <v>2019</v>
      </c>
      <c r="C228" s="1" t="s">
        <v>16</v>
      </c>
      <c r="D228" s="1" t="s">
        <v>7</v>
      </c>
      <c r="E228" s="1">
        <v>74.805997680746842</v>
      </c>
      <c r="G228" t="s">
        <v>11</v>
      </c>
      <c r="H228">
        <v>2019</v>
      </c>
      <c r="I228" t="s">
        <v>16</v>
      </c>
      <c r="J228" t="s">
        <v>7</v>
      </c>
      <c r="K228" t="str">
        <f t="shared" si="3"/>
        <v>Urban2019April</v>
      </c>
      <c r="L228" s="2">
        <v>74.805997680746842</v>
      </c>
    </row>
    <row r="229" spans="1:12" x14ac:dyDescent="0.25">
      <c r="A229" s="1" t="s">
        <v>11</v>
      </c>
      <c r="B229" s="1">
        <v>2019</v>
      </c>
      <c r="C229" s="1" t="s">
        <v>16</v>
      </c>
      <c r="D229" s="1" t="s">
        <v>8</v>
      </c>
      <c r="E229" s="1">
        <v>74.373658533335387</v>
      </c>
      <c r="G229" t="s">
        <v>11</v>
      </c>
      <c r="H229">
        <v>2019</v>
      </c>
      <c r="I229" t="s">
        <v>16</v>
      </c>
      <c r="J229" t="s">
        <v>8</v>
      </c>
      <c r="K229" t="str">
        <f t="shared" si="3"/>
        <v>Combined2019April</v>
      </c>
      <c r="L229" s="2">
        <v>74.373658533335387</v>
      </c>
    </row>
    <row r="230" spans="1:12" x14ac:dyDescent="0.25">
      <c r="A230" s="1" t="s">
        <v>11</v>
      </c>
      <c r="B230" s="1">
        <v>2019</v>
      </c>
      <c r="C230" s="1" t="s">
        <v>17</v>
      </c>
      <c r="D230" s="1" t="s">
        <v>6</v>
      </c>
      <c r="E230" s="1">
        <v>74.36342791633696</v>
      </c>
      <c r="G230" t="s">
        <v>11</v>
      </c>
      <c r="H230">
        <v>2019</v>
      </c>
      <c r="I230" t="s">
        <v>17</v>
      </c>
      <c r="J230" t="s">
        <v>6</v>
      </c>
      <c r="K230" t="str">
        <f t="shared" si="3"/>
        <v>Rural2019May</v>
      </c>
      <c r="L230" s="2">
        <v>74.36342791633696</v>
      </c>
    </row>
    <row r="231" spans="1:12" x14ac:dyDescent="0.25">
      <c r="A231" s="1" t="s">
        <v>11</v>
      </c>
      <c r="B231" s="1">
        <v>2019</v>
      </c>
      <c r="C231" s="1" t="s">
        <v>17</v>
      </c>
      <c r="D231" s="1" t="s">
        <v>7</v>
      </c>
      <c r="E231" s="1">
        <v>75.284841193639252</v>
      </c>
      <c r="G231" t="s">
        <v>11</v>
      </c>
      <c r="H231">
        <v>2019</v>
      </c>
      <c r="I231" t="s">
        <v>17</v>
      </c>
      <c r="J231" t="s">
        <v>7</v>
      </c>
      <c r="K231" t="str">
        <f t="shared" si="3"/>
        <v>Urban2019May</v>
      </c>
      <c r="L231" s="2">
        <v>75.284841193639252</v>
      </c>
    </row>
    <row r="232" spans="1:12" x14ac:dyDescent="0.25">
      <c r="A232" s="1" t="s">
        <v>11</v>
      </c>
      <c r="B232" s="1">
        <v>2019</v>
      </c>
      <c r="C232" s="1" t="s">
        <v>17</v>
      </c>
      <c r="D232" s="1" t="s">
        <v>8</v>
      </c>
      <c r="E232" s="1">
        <v>74.7950390349407</v>
      </c>
      <c r="G232" t="s">
        <v>11</v>
      </c>
      <c r="H232">
        <v>2019</v>
      </c>
      <c r="I232" t="s">
        <v>17</v>
      </c>
      <c r="J232" t="s">
        <v>8</v>
      </c>
      <c r="K232" t="str">
        <f t="shared" si="3"/>
        <v>Combined2019May</v>
      </c>
      <c r="L232" s="2">
        <v>74.7950390349407</v>
      </c>
    </row>
    <row r="233" spans="1:12" x14ac:dyDescent="0.25">
      <c r="A233" s="1" t="s">
        <v>11</v>
      </c>
      <c r="B233" s="1">
        <v>2019</v>
      </c>
      <c r="C233" s="1" t="s">
        <v>18</v>
      </c>
      <c r="D233" s="1" t="s">
        <v>6</v>
      </c>
      <c r="E233" s="1">
        <v>74.990086016755527</v>
      </c>
      <c r="G233" t="s">
        <v>11</v>
      </c>
      <c r="H233">
        <v>2019</v>
      </c>
      <c r="I233" t="s">
        <v>18</v>
      </c>
      <c r="J233" t="s">
        <v>6</v>
      </c>
      <c r="K233" t="str">
        <f t="shared" si="3"/>
        <v>Rural2019June</v>
      </c>
      <c r="L233" s="2">
        <v>74.990086016755527</v>
      </c>
    </row>
    <row r="234" spans="1:12" x14ac:dyDescent="0.25">
      <c r="A234" s="1" t="s">
        <v>11</v>
      </c>
      <c r="B234" s="1">
        <v>2019</v>
      </c>
      <c r="C234" s="1" t="s">
        <v>18</v>
      </c>
      <c r="D234" s="1" t="s">
        <v>7</v>
      </c>
      <c r="E234" s="1">
        <v>75.604070202234183</v>
      </c>
      <c r="G234" t="s">
        <v>11</v>
      </c>
      <c r="H234">
        <v>2019</v>
      </c>
      <c r="I234" t="s">
        <v>18</v>
      </c>
      <c r="J234" t="s">
        <v>7</v>
      </c>
      <c r="K234" t="str">
        <f t="shared" si="3"/>
        <v>Urban2019June</v>
      </c>
      <c r="L234" s="2">
        <v>75.604070202234183</v>
      </c>
    </row>
    <row r="235" spans="1:12" x14ac:dyDescent="0.25">
      <c r="A235" s="1" t="s">
        <v>11</v>
      </c>
      <c r="B235" s="1">
        <v>2019</v>
      </c>
      <c r="C235" s="1" t="s">
        <v>18</v>
      </c>
      <c r="D235" s="1" t="s">
        <v>8</v>
      </c>
      <c r="E235" s="1">
        <v>75.269092099246663</v>
      </c>
      <c r="G235" t="s">
        <v>11</v>
      </c>
      <c r="H235">
        <v>2019</v>
      </c>
      <c r="I235" t="s">
        <v>18</v>
      </c>
      <c r="J235" t="s">
        <v>8</v>
      </c>
      <c r="K235" t="str">
        <f t="shared" si="3"/>
        <v>Combined2019June</v>
      </c>
      <c r="L235" s="2">
        <v>75.269092099246663</v>
      </c>
    </row>
    <row r="236" spans="1:12" x14ac:dyDescent="0.25">
      <c r="A236" s="1" t="s">
        <v>11</v>
      </c>
      <c r="B236" s="1">
        <v>2019</v>
      </c>
      <c r="C236" s="1" t="s">
        <v>19</v>
      </c>
      <c r="D236" s="1" t="s">
        <v>6</v>
      </c>
      <c r="E236" s="1">
        <v>75.668965625542313</v>
      </c>
      <c r="G236" t="s">
        <v>11</v>
      </c>
      <c r="H236">
        <v>2019</v>
      </c>
      <c r="I236" t="s">
        <v>19</v>
      </c>
      <c r="J236" t="s">
        <v>6</v>
      </c>
      <c r="K236" t="str">
        <f t="shared" si="3"/>
        <v>Rural2019July</v>
      </c>
      <c r="L236" s="2">
        <v>75.668965625542313</v>
      </c>
    </row>
    <row r="237" spans="1:12" x14ac:dyDescent="0.25">
      <c r="A237" s="1" t="s">
        <v>11</v>
      </c>
      <c r="B237" s="1">
        <v>2019</v>
      </c>
      <c r="C237" s="1" t="s">
        <v>19</v>
      </c>
      <c r="D237" s="1" t="s">
        <v>7</v>
      </c>
      <c r="E237" s="1">
        <v>76.242528219424074</v>
      </c>
      <c r="G237" t="s">
        <v>11</v>
      </c>
      <c r="H237">
        <v>2019</v>
      </c>
      <c r="I237" t="s">
        <v>19</v>
      </c>
      <c r="J237" t="s">
        <v>7</v>
      </c>
      <c r="K237" t="str">
        <f t="shared" si="3"/>
        <v>Urban2019July</v>
      </c>
      <c r="L237" s="2">
        <v>76.242528219424074</v>
      </c>
    </row>
    <row r="238" spans="1:12" x14ac:dyDescent="0.25">
      <c r="A238" s="1" t="s">
        <v>11</v>
      </c>
      <c r="B238" s="1">
        <v>2019</v>
      </c>
      <c r="C238" s="1" t="s">
        <v>19</v>
      </c>
      <c r="D238" s="1" t="s">
        <v>8</v>
      </c>
      <c r="E238" s="1">
        <v>75.953835414355268</v>
      </c>
      <c r="G238" t="s">
        <v>11</v>
      </c>
      <c r="H238">
        <v>2019</v>
      </c>
      <c r="I238" t="s">
        <v>19</v>
      </c>
      <c r="J238" t="s">
        <v>8</v>
      </c>
      <c r="K238" t="str">
        <f t="shared" si="3"/>
        <v>Combined2019July</v>
      </c>
      <c r="L238" s="2">
        <v>75.953835414355268</v>
      </c>
    </row>
    <row r="239" spans="1:12" x14ac:dyDescent="0.25">
      <c r="A239" s="1" t="s">
        <v>11</v>
      </c>
      <c r="B239" s="1">
        <v>2019</v>
      </c>
      <c r="C239" s="1" t="s">
        <v>20</v>
      </c>
      <c r="D239" s="1" t="s">
        <v>6</v>
      </c>
      <c r="E239" s="1">
        <v>76.086737692488015</v>
      </c>
      <c r="G239" t="s">
        <v>11</v>
      </c>
      <c r="H239">
        <v>2019</v>
      </c>
      <c r="I239" t="s">
        <v>20</v>
      </c>
      <c r="J239" t="s">
        <v>6</v>
      </c>
      <c r="K239" t="str">
        <f t="shared" si="3"/>
        <v>Rural2019August</v>
      </c>
      <c r="L239" s="2">
        <v>76.086737692488015</v>
      </c>
    </row>
    <row r="240" spans="1:12" x14ac:dyDescent="0.25">
      <c r="A240" s="1" t="s">
        <v>11</v>
      </c>
      <c r="B240" s="1">
        <v>2019</v>
      </c>
      <c r="C240" s="1" t="s">
        <v>20</v>
      </c>
      <c r="D240" s="1" t="s">
        <v>7</v>
      </c>
      <c r="E240" s="1">
        <v>76.72137173231647</v>
      </c>
      <c r="G240" t="s">
        <v>11</v>
      </c>
      <c r="H240">
        <v>2019</v>
      </c>
      <c r="I240" t="s">
        <v>20</v>
      </c>
      <c r="J240" t="s">
        <v>7</v>
      </c>
      <c r="K240" t="str">
        <f t="shared" si="3"/>
        <v>Urban2019August</v>
      </c>
      <c r="L240" s="2">
        <v>76.72137173231647</v>
      </c>
    </row>
    <row r="241" spans="1:12" x14ac:dyDescent="0.25">
      <c r="A241" s="1" t="s">
        <v>11</v>
      </c>
      <c r="B241" s="1">
        <v>2019</v>
      </c>
      <c r="C241" s="1" t="s">
        <v>20</v>
      </c>
      <c r="D241" s="1" t="s">
        <v>8</v>
      </c>
      <c r="E241" s="1">
        <v>76.375215915960567</v>
      </c>
      <c r="G241" t="s">
        <v>11</v>
      </c>
      <c r="H241">
        <v>2019</v>
      </c>
      <c r="I241" t="s">
        <v>20</v>
      </c>
      <c r="J241" t="s">
        <v>8</v>
      </c>
      <c r="K241" t="str">
        <f t="shared" si="3"/>
        <v>Combined2019August</v>
      </c>
      <c r="L241" s="2">
        <v>76.375215915960567</v>
      </c>
    </row>
    <row r="242" spans="1:12" x14ac:dyDescent="0.25">
      <c r="A242" s="1" t="s">
        <v>11</v>
      </c>
      <c r="B242" s="1">
        <v>2019</v>
      </c>
      <c r="C242" s="1" t="s">
        <v>21</v>
      </c>
      <c r="D242" s="1" t="s">
        <v>6</v>
      </c>
      <c r="E242" s="1">
        <v>76.608952776170156</v>
      </c>
      <c r="G242" t="s">
        <v>11</v>
      </c>
      <c r="H242">
        <v>2019</v>
      </c>
      <c r="I242" t="s">
        <v>21</v>
      </c>
      <c r="J242" t="s">
        <v>6</v>
      </c>
      <c r="K242" t="str">
        <f t="shared" si="3"/>
        <v>Rural2019September</v>
      </c>
      <c r="L242" s="2">
        <v>76.608952776170156</v>
      </c>
    </row>
    <row r="243" spans="1:12" x14ac:dyDescent="0.25">
      <c r="A243" s="1" t="s">
        <v>11</v>
      </c>
      <c r="B243" s="1">
        <v>2019</v>
      </c>
      <c r="C243" s="1" t="s">
        <v>21</v>
      </c>
      <c r="D243" s="1" t="s">
        <v>7</v>
      </c>
      <c r="E243" s="1">
        <v>76.987395906145579</v>
      </c>
      <c r="G243" t="s">
        <v>11</v>
      </c>
      <c r="H243">
        <v>2019</v>
      </c>
      <c r="I243" t="s">
        <v>21</v>
      </c>
      <c r="J243" t="s">
        <v>7</v>
      </c>
      <c r="K243" t="str">
        <f t="shared" si="3"/>
        <v>Urban2019September</v>
      </c>
      <c r="L243" s="2">
        <v>76.987395906145579</v>
      </c>
    </row>
    <row r="244" spans="1:12" x14ac:dyDescent="0.25">
      <c r="A244" s="1" t="s">
        <v>11</v>
      </c>
      <c r="B244" s="1">
        <v>2019</v>
      </c>
      <c r="C244" s="1" t="s">
        <v>21</v>
      </c>
      <c r="D244" s="1" t="s">
        <v>8</v>
      </c>
      <c r="E244" s="1">
        <v>76.79659641756588</v>
      </c>
      <c r="G244" t="s">
        <v>11</v>
      </c>
      <c r="H244">
        <v>2019</v>
      </c>
      <c r="I244" t="s">
        <v>21</v>
      </c>
      <c r="J244" t="s">
        <v>8</v>
      </c>
      <c r="K244" t="str">
        <f t="shared" si="3"/>
        <v>Combined2019September</v>
      </c>
      <c r="L244" s="2">
        <v>76.79659641756588</v>
      </c>
    </row>
    <row r="245" spans="1:12" x14ac:dyDescent="0.25">
      <c r="A245" s="1" t="s">
        <v>11</v>
      </c>
      <c r="B245" s="1">
        <v>2019</v>
      </c>
      <c r="C245" s="1" t="s">
        <v>22</v>
      </c>
      <c r="D245" s="1" t="s">
        <v>6</v>
      </c>
      <c r="E245" s="1">
        <v>77.444496910061602</v>
      </c>
      <c r="G245" t="s">
        <v>11</v>
      </c>
      <c r="H245">
        <v>2019</v>
      </c>
      <c r="I245" t="s">
        <v>22</v>
      </c>
      <c r="J245" t="s">
        <v>6</v>
      </c>
      <c r="K245" t="str">
        <f t="shared" si="3"/>
        <v>Rural2019October</v>
      </c>
      <c r="L245" s="2">
        <v>77.444496910061602</v>
      </c>
    </row>
    <row r="246" spans="1:12" x14ac:dyDescent="0.25">
      <c r="A246" s="1" t="s">
        <v>11</v>
      </c>
      <c r="B246" s="1">
        <v>2019</v>
      </c>
      <c r="C246" s="1" t="s">
        <v>22</v>
      </c>
      <c r="D246" s="1" t="s">
        <v>7</v>
      </c>
      <c r="E246" s="1">
        <v>77.679058758101277</v>
      </c>
      <c r="G246" t="s">
        <v>11</v>
      </c>
      <c r="H246">
        <v>2019</v>
      </c>
      <c r="I246" t="s">
        <v>22</v>
      </c>
      <c r="J246" t="s">
        <v>7</v>
      </c>
      <c r="K246" t="str">
        <f t="shared" si="3"/>
        <v>Urban2019October</v>
      </c>
      <c r="L246" s="2">
        <v>77.679058758101277</v>
      </c>
    </row>
    <row r="247" spans="1:12" x14ac:dyDescent="0.25">
      <c r="A247" s="1" t="s">
        <v>11</v>
      </c>
      <c r="B247" s="1">
        <v>2019</v>
      </c>
      <c r="C247" s="1" t="s">
        <v>22</v>
      </c>
      <c r="D247" s="1" t="s">
        <v>8</v>
      </c>
      <c r="E247" s="1">
        <v>77.534012295375135</v>
      </c>
      <c r="G247" t="s">
        <v>11</v>
      </c>
      <c r="H247">
        <v>2019</v>
      </c>
      <c r="I247" t="s">
        <v>22</v>
      </c>
      <c r="J247" t="s">
        <v>8</v>
      </c>
      <c r="K247" t="str">
        <f t="shared" si="3"/>
        <v>Combined2019October</v>
      </c>
      <c r="L247" s="2">
        <v>77.534012295375135</v>
      </c>
    </row>
    <row r="248" spans="1:12" x14ac:dyDescent="0.25">
      <c r="A248" s="1" t="s">
        <v>11</v>
      </c>
      <c r="B248" s="1">
        <v>2019</v>
      </c>
      <c r="C248" s="1" t="s">
        <v>23</v>
      </c>
      <c r="D248" s="1" t="s">
        <v>6</v>
      </c>
      <c r="E248" s="1">
        <v>78.28004104395302</v>
      </c>
      <c r="G248" t="s">
        <v>11</v>
      </c>
      <c r="H248">
        <v>2019</v>
      </c>
      <c r="I248" t="s">
        <v>23</v>
      </c>
      <c r="J248" t="s">
        <v>6</v>
      </c>
      <c r="K248" t="str">
        <f t="shared" si="3"/>
        <v>Rural2019November</v>
      </c>
      <c r="L248" s="2">
        <v>78.28004104395302</v>
      </c>
    </row>
    <row r="249" spans="1:12" x14ac:dyDescent="0.25">
      <c r="A249" s="1" t="s">
        <v>11</v>
      </c>
      <c r="B249" s="1">
        <v>2019</v>
      </c>
      <c r="C249" s="1" t="s">
        <v>23</v>
      </c>
      <c r="D249" s="1" t="s">
        <v>7</v>
      </c>
      <c r="E249" s="1">
        <v>78.21110710575951</v>
      </c>
      <c r="G249" t="s">
        <v>11</v>
      </c>
      <c r="H249">
        <v>2019</v>
      </c>
      <c r="I249" t="s">
        <v>23</v>
      </c>
      <c r="J249" t="s">
        <v>7</v>
      </c>
      <c r="K249" t="str">
        <f t="shared" si="3"/>
        <v>Urban2019November</v>
      </c>
      <c r="L249" s="2">
        <v>78.21110710575951</v>
      </c>
    </row>
    <row r="250" spans="1:12" x14ac:dyDescent="0.25">
      <c r="A250" s="1" t="s">
        <v>11</v>
      </c>
      <c r="B250" s="1">
        <v>2019</v>
      </c>
      <c r="C250" s="1" t="s">
        <v>23</v>
      </c>
      <c r="D250" s="1" t="s">
        <v>8</v>
      </c>
      <c r="E250" s="1">
        <v>78.271428173184418</v>
      </c>
      <c r="G250" t="s">
        <v>11</v>
      </c>
      <c r="H250">
        <v>2019</v>
      </c>
      <c r="I250" t="s">
        <v>23</v>
      </c>
      <c r="J250" t="s">
        <v>8</v>
      </c>
      <c r="K250" t="str">
        <f t="shared" si="3"/>
        <v>Combined2019November</v>
      </c>
      <c r="L250" s="2">
        <v>78.271428173184418</v>
      </c>
    </row>
    <row r="251" spans="1:12" x14ac:dyDescent="0.25">
      <c r="A251" s="1" t="s">
        <v>11</v>
      </c>
      <c r="B251" s="1">
        <v>2019</v>
      </c>
      <c r="C251" s="1" t="s">
        <v>24</v>
      </c>
      <c r="D251" s="1" t="s">
        <v>6</v>
      </c>
      <c r="E251" s="1">
        <v>79.533357244790167</v>
      </c>
      <c r="G251" t="s">
        <v>11</v>
      </c>
      <c r="H251">
        <v>2019</v>
      </c>
      <c r="I251" t="s">
        <v>24</v>
      </c>
      <c r="J251" t="s">
        <v>6</v>
      </c>
      <c r="K251" t="str">
        <f t="shared" si="3"/>
        <v>Rural2019December</v>
      </c>
      <c r="L251" s="2">
        <v>79.533357244790167</v>
      </c>
    </row>
    <row r="252" spans="1:12" x14ac:dyDescent="0.25">
      <c r="A252" s="1" t="s">
        <v>11</v>
      </c>
      <c r="B252" s="1">
        <v>2019</v>
      </c>
      <c r="C252" s="1" t="s">
        <v>24</v>
      </c>
      <c r="D252" s="1" t="s">
        <v>7</v>
      </c>
      <c r="E252" s="1">
        <v>78.902769957715208</v>
      </c>
      <c r="G252" t="s">
        <v>11</v>
      </c>
      <c r="H252">
        <v>2019</v>
      </c>
      <c r="I252" t="s">
        <v>24</v>
      </c>
      <c r="J252" t="s">
        <v>7</v>
      </c>
      <c r="K252" t="str">
        <f t="shared" si="3"/>
        <v>Urban2019December</v>
      </c>
      <c r="L252" s="2">
        <v>78.902769957715208</v>
      </c>
    </row>
    <row r="253" spans="1:12" x14ac:dyDescent="0.25">
      <c r="A253" s="1" t="s">
        <v>11</v>
      </c>
      <c r="B253" s="1">
        <v>2019</v>
      </c>
      <c r="C253" s="1" t="s">
        <v>24</v>
      </c>
      <c r="D253" s="1" t="s">
        <v>8</v>
      </c>
      <c r="E253" s="1">
        <v>79.219534301796344</v>
      </c>
      <c r="G253" t="s">
        <v>11</v>
      </c>
      <c r="H253">
        <v>2019</v>
      </c>
      <c r="I253" t="s">
        <v>24</v>
      </c>
      <c r="J253" t="s">
        <v>8</v>
      </c>
      <c r="K253" t="str">
        <f t="shared" si="3"/>
        <v>Combined2019December</v>
      </c>
      <c r="L253" s="2">
        <v>79.219534301796344</v>
      </c>
    </row>
    <row r="254" spans="1:12" x14ac:dyDescent="0.25">
      <c r="A254" s="1" t="s">
        <v>11</v>
      </c>
      <c r="B254" s="1">
        <v>2020</v>
      </c>
      <c r="C254" s="1" t="s">
        <v>10</v>
      </c>
      <c r="D254" s="1" t="s">
        <v>6</v>
      </c>
      <c r="E254" s="1">
        <v>79.324471211317302</v>
      </c>
      <c r="G254" t="s">
        <v>11</v>
      </c>
      <c r="H254">
        <v>2020</v>
      </c>
      <c r="I254" t="s">
        <v>10</v>
      </c>
      <c r="J254" t="s">
        <v>6</v>
      </c>
      <c r="K254" t="str">
        <f t="shared" si="3"/>
        <v>Rural2020January</v>
      </c>
      <c r="L254" s="2">
        <v>79.324471211317302</v>
      </c>
    </row>
    <row r="255" spans="1:12" x14ac:dyDescent="0.25">
      <c r="A255" s="1" t="s">
        <v>11</v>
      </c>
      <c r="B255" s="1">
        <v>2020</v>
      </c>
      <c r="C255" s="1" t="s">
        <v>10</v>
      </c>
      <c r="D255" s="1" t="s">
        <v>7</v>
      </c>
      <c r="E255" s="1">
        <v>78.849565122949372</v>
      </c>
      <c r="G255" t="s">
        <v>11</v>
      </c>
      <c r="H255">
        <v>2020</v>
      </c>
      <c r="I255" t="s">
        <v>10</v>
      </c>
      <c r="J255" t="s">
        <v>7</v>
      </c>
      <c r="K255" t="str">
        <f t="shared" si="3"/>
        <v>Urban2020January</v>
      </c>
      <c r="L255" s="2">
        <v>78.849565122949372</v>
      </c>
    </row>
    <row r="256" spans="1:12" x14ac:dyDescent="0.25">
      <c r="A256" s="1" t="s">
        <v>11</v>
      </c>
      <c r="B256" s="1">
        <v>2020</v>
      </c>
      <c r="C256" s="1" t="s">
        <v>10</v>
      </c>
      <c r="D256" s="1" t="s">
        <v>8</v>
      </c>
      <c r="E256" s="1">
        <v>79.114189176395016</v>
      </c>
      <c r="G256" t="s">
        <v>11</v>
      </c>
      <c r="H256">
        <v>2020</v>
      </c>
      <c r="I256" t="s">
        <v>10</v>
      </c>
      <c r="J256" t="s">
        <v>8</v>
      </c>
      <c r="K256" t="str">
        <f t="shared" si="3"/>
        <v>Combined2020January</v>
      </c>
      <c r="L256" s="2">
        <v>79.114189176395016</v>
      </c>
    </row>
    <row r="257" spans="1:12" x14ac:dyDescent="0.25">
      <c r="A257" s="1" t="s">
        <v>11</v>
      </c>
      <c r="B257" s="1">
        <v>2020</v>
      </c>
      <c r="C257" s="1" t="s">
        <v>14</v>
      </c>
      <c r="D257" s="1" t="s">
        <v>6</v>
      </c>
      <c r="E257" s="1">
        <v>78.54114858579409</v>
      </c>
      <c r="G257" t="s">
        <v>11</v>
      </c>
      <c r="H257">
        <v>2020</v>
      </c>
      <c r="I257" t="s">
        <v>14</v>
      </c>
      <c r="J257" t="s">
        <v>6</v>
      </c>
      <c r="K257" t="str">
        <f t="shared" si="3"/>
        <v>Rural2020February</v>
      </c>
      <c r="L257" s="2">
        <v>78.54114858579409</v>
      </c>
    </row>
    <row r="258" spans="1:12" x14ac:dyDescent="0.25">
      <c r="A258" s="1" t="s">
        <v>11</v>
      </c>
      <c r="B258" s="1">
        <v>2020</v>
      </c>
      <c r="C258" s="1" t="s">
        <v>14</v>
      </c>
      <c r="D258" s="1" t="s">
        <v>7</v>
      </c>
      <c r="E258" s="1">
        <v>78.583540949120263</v>
      </c>
      <c r="G258" t="s">
        <v>11</v>
      </c>
      <c r="H258">
        <v>2020</v>
      </c>
      <c r="I258" t="s">
        <v>14</v>
      </c>
      <c r="J258" t="s">
        <v>7</v>
      </c>
      <c r="K258" t="str">
        <f t="shared" si="3"/>
        <v>Urban2020February</v>
      </c>
      <c r="L258" s="2">
        <v>78.583540949120263</v>
      </c>
    </row>
    <row r="259" spans="1:12" x14ac:dyDescent="0.25">
      <c r="A259" s="1" t="s">
        <v>11</v>
      </c>
      <c r="B259" s="1">
        <v>2020</v>
      </c>
      <c r="C259" s="1" t="s">
        <v>14</v>
      </c>
      <c r="D259" s="1" t="s">
        <v>8</v>
      </c>
      <c r="E259" s="1">
        <v>78.534790986687725</v>
      </c>
      <c r="G259" t="s">
        <v>11</v>
      </c>
      <c r="H259">
        <v>2020</v>
      </c>
      <c r="I259" t="s">
        <v>14</v>
      </c>
      <c r="J259" t="s">
        <v>8</v>
      </c>
      <c r="K259" t="str">
        <f t="shared" ref="K259:K322" si="4">CONCATENATE(J259,H259,I259)</f>
        <v>Combined2020February</v>
      </c>
      <c r="L259" s="2">
        <v>78.534790986687725</v>
      </c>
    </row>
    <row r="260" spans="1:12" x14ac:dyDescent="0.25">
      <c r="A260" s="1" t="s">
        <v>11</v>
      </c>
      <c r="B260" s="1">
        <v>2020</v>
      </c>
      <c r="C260" s="1" t="s">
        <v>15</v>
      </c>
      <c r="D260" s="1" t="s">
        <v>6</v>
      </c>
      <c r="E260" s="1">
        <v>78.227819535584814</v>
      </c>
      <c r="G260" t="s">
        <v>11</v>
      </c>
      <c r="H260">
        <v>2020</v>
      </c>
      <c r="I260" t="s">
        <v>15</v>
      </c>
      <c r="J260" t="s">
        <v>6</v>
      </c>
      <c r="K260" t="str">
        <f t="shared" si="4"/>
        <v>Rural2020March</v>
      </c>
      <c r="L260" s="2">
        <v>78.227819535584814</v>
      </c>
    </row>
    <row r="261" spans="1:12" x14ac:dyDescent="0.25">
      <c r="A261" s="1" t="s">
        <v>11</v>
      </c>
      <c r="B261" s="1">
        <v>2020</v>
      </c>
      <c r="C261" s="1" t="s">
        <v>15</v>
      </c>
      <c r="D261" s="1" t="s">
        <v>7</v>
      </c>
      <c r="E261" s="1">
        <v>78.370721610056989</v>
      </c>
      <c r="G261" t="s">
        <v>11</v>
      </c>
      <c r="H261">
        <v>2020</v>
      </c>
      <c r="I261" t="s">
        <v>15</v>
      </c>
      <c r="J261" t="s">
        <v>7</v>
      </c>
      <c r="K261" t="str">
        <f t="shared" si="4"/>
        <v>Urban2020March</v>
      </c>
      <c r="L261" s="2">
        <v>78.370721610056989</v>
      </c>
    </row>
    <row r="262" spans="1:12" x14ac:dyDescent="0.25">
      <c r="A262" s="1" t="s">
        <v>11</v>
      </c>
      <c r="B262" s="1">
        <v>2020</v>
      </c>
      <c r="C262" s="1" t="s">
        <v>15</v>
      </c>
      <c r="D262" s="1" t="s">
        <v>8</v>
      </c>
      <c r="E262" s="1">
        <v>78.271428173184418</v>
      </c>
      <c r="G262" t="s">
        <v>11</v>
      </c>
      <c r="H262">
        <v>2020</v>
      </c>
      <c r="I262" t="s">
        <v>15</v>
      </c>
      <c r="J262" t="s">
        <v>8</v>
      </c>
      <c r="K262" t="str">
        <f t="shared" si="4"/>
        <v>Combined2020March</v>
      </c>
      <c r="L262" s="2">
        <v>78.271428173184418</v>
      </c>
    </row>
    <row r="263" spans="1:12" x14ac:dyDescent="0.25">
      <c r="A263" s="1" t="s">
        <v>11</v>
      </c>
      <c r="B263" s="1">
        <v>2020</v>
      </c>
      <c r="C263" s="1" t="s">
        <v>16</v>
      </c>
      <c r="D263" s="1" t="s">
        <v>6</v>
      </c>
      <c r="E263" s="1">
        <v>79.324471211317302</v>
      </c>
      <c r="G263" t="s">
        <v>11</v>
      </c>
      <c r="H263">
        <v>2020</v>
      </c>
      <c r="I263" t="s">
        <v>16</v>
      </c>
      <c r="J263" t="s">
        <v>6</v>
      </c>
      <c r="K263" t="str">
        <f t="shared" si="4"/>
        <v>Rural2020April</v>
      </c>
      <c r="L263" s="2">
        <v>79.324471211317302</v>
      </c>
    </row>
    <row r="264" spans="1:12" x14ac:dyDescent="0.25">
      <c r="A264" s="1" t="s">
        <v>11</v>
      </c>
      <c r="B264" s="1">
        <v>2020</v>
      </c>
      <c r="C264" s="1" t="s">
        <v>16</v>
      </c>
      <c r="D264" s="1" t="s">
        <v>7</v>
      </c>
      <c r="E264" s="1">
        <v>80.286095661626604</v>
      </c>
      <c r="G264" t="s">
        <v>11</v>
      </c>
      <c r="H264">
        <v>2020</v>
      </c>
      <c r="I264" t="s">
        <v>16</v>
      </c>
      <c r="J264" t="s">
        <v>7</v>
      </c>
      <c r="K264" t="str">
        <f t="shared" si="4"/>
        <v>Urban2020April</v>
      </c>
      <c r="L264" s="2">
        <v>80.286095661626604</v>
      </c>
    </row>
    <row r="265" spans="1:12" x14ac:dyDescent="0.25">
      <c r="A265" s="1" t="s">
        <v>11</v>
      </c>
      <c r="B265" s="1">
        <v>2020</v>
      </c>
      <c r="C265" s="1" t="s">
        <v>16</v>
      </c>
      <c r="D265" s="1" t="s">
        <v>8</v>
      </c>
      <c r="E265" s="1">
        <v>79.746259928802971</v>
      </c>
      <c r="G265" t="s">
        <v>11</v>
      </c>
      <c r="H265">
        <v>2020</v>
      </c>
      <c r="I265" t="s">
        <v>16</v>
      </c>
      <c r="J265" t="s">
        <v>8</v>
      </c>
      <c r="K265" t="str">
        <f t="shared" si="4"/>
        <v>Combined2020April</v>
      </c>
      <c r="L265" s="2">
        <v>79.746259928802971</v>
      </c>
    </row>
    <row r="266" spans="1:12" x14ac:dyDescent="0.25">
      <c r="A266" s="1" t="s">
        <v>11</v>
      </c>
      <c r="B266" s="1">
        <v>2020</v>
      </c>
      <c r="C266" s="1" t="s">
        <v>17</v>
      </c>
      <c r="D266" s="1" t="s">
        <v>6</v>
      </c>
      <c r="E266" s="1">
        <v>78.958920652739792</v>
      </c>
      <c r="G266" t="s">
        <v>11</v>
      </c>
      <c r="H266">
        <v>2020</v>
      </c>
      <c r="I266" t="s">
        <v>17</v>
      </c>
      <c r="J266" t="s">
        <v>6</v>
      </c>
      <c r="K266" t="str">
        <f t="shared" si="4"/>
        <v>Rural2020May</v>
      </c>
      <c r="L266" s="2">
        <v>78.958920652739792</v>
      </c>
    </row>
    <row r="267" spans="1:12" x14ac:dyDescent="0.25">
      <c r="A267" s="1" t="s">
        <v>11</v>
      </c>
      <c r="B267" s="1">
        <v>2020</v>
      </c>
      <c r="C267" s="1" t="s">
        <v>17</v>
      </c>
      <c r="D267" s="1" t="s">
        <v>7</v>
      </c>
      <c r="E267" s="1">
        <v>80.126481157329124</v>
      </c>
      <c r="G267" t="s">
        <v>11</v>
      </c>
      <c r="H267">
        <v>2020</v>
      </c>
      <c r="I267" t="s">
        <v>17</v>
      </c>
      <c r="J267" t="s">
        <v>7</v>
      </c>
      <c r="K267" t="str">
        <f t="shared" si="4"/>
        <v>Urban2020May</v>
      </c>
      <c r="L267" s="2">
        <v>80.126481157329124</v>
      </c>
    </row>
    <row r="268" spans="1:12" x14ac:dyDescent="0.25">
      <c r="A268" s="1" t="s">
        <v>11</v>
      </c>
      <c r="B268" s="1">
        <v>2020</v>
      </c>
      <c r="C268" s="1" t="s">
        <v>17</v>
      </c>
      <c r="D268" s="1" t="s">
        <v>8</v>
      </c>
      <c r="E268" s="1">
        <v>79.482897115299664</v>
      </c>
      <c r="G268" t="s">
        <v>11</v>
      </c>
      <c r="H268">
        <v>2020</v>
      </c>
      <c r="I268" t="s">
        <v>17</v>
      </c>
      <c r="J268" t="s">
        <v>8</v>
      </c>
      <c r="K268" t="str">
        <f t="shared" si="4"/>
        <v>Combined2020May</v>
      </c>
      <c r="L268" s="2">
        <v>79.482897115299664</v>
      </c>
    </row>
    <row r="269" spans="1:12" x14ac:dyDescent="0.25">
      <c r="A269" s="1" t="s">
        <v>11</v>
      </c>
      <c r="B269" s="1">
        <v>2020</v>
      </c>
      <c r="C269" s="1" t="s">
        <v>18</v>
      </c>
      <c r="D269" s="1" t="s">
        <v>6</v>
      </c>
      <c r="E269" s="1">
        <v>79.742243278263004</v>
      </c>
      <c r="G269" t="s">
        <v>11</v>
      </c>
      <c r="H269">
        <v>2020</v>
      </c>
      <c r="I269" t="s">
        <v>18</v>
      </c>
      <c r="J269" t="s">
        <v>6</v>
      </c>
      <c r="K269" t="str">
        <f t="shared" si="4"/>
        <v>Rural2020June</v>
      </c>
      <c r="L269" s="2">
        <v>79.742243278263004</v>
      </c>
    </row>
    <row r="270" spans="1:12" x14ac:dyDescent="0.25">
      <c r="A270" s="1" t="s">
        <v>11</v>
      </c>
      <c r="B270" s="1">
        <v>2020</v>
      </c>
      <c r="C270" s="1" t="s">
        <v>18</v>
      </c>
      <c r="D270" s="1" t="s">
        <v>7</v>
      </c>
      <c r="E270" s="1">
        <v>80.232890826860782</v>
      </c>
      <c r="G270" t="s">
        <v>11</v>
      </c>
      <c r="H270">
        <v>2020</v>
      </c>
      <c r="I270" t="s">
        <v>18</v>
      </c>
      <c r="J270" t="s">
        <v>7</v>
      </c>
      <c r="K270" t="str">
        <f t="shared" si="4"/>
        <v>Urban2020June</v>
      </c>
      <c r="L270" s="2">
        <v>80.232890826860782</v>
      </c>
    </row>
    <row r="271" spans="1:12" x14ac:dyDescent="0.25">
      <c r="A271" s="1" t="s">
        <v>11</v>
      </c>
      <c r="B271" s="1">
        <v>2020</v>
      </c>
      <c r="C271" s="1" t="s">
        <v>18</v>
      </c>
      <c r="D271" s="1" t="s">
        <v>8</v>
      </c>
      <c r="E271" s="1">
        <v>79.956950179605627</v>
      </c>
      <c r="G271" t="s">
        <v>11</v>
      </c>
      <c r="H271">
        <v>2020</v>
      </c>
      <c r="I271" t="s">
        <v>18</v>
      </c>
      <c r="J271" t="s">
        <v>8</v>
      </c>
      <c r="K271" t="str">
        <f t="shared" si="4"/>
        <v>Combined2020June</v>
      </c>
      <c r="L271" s="2">
        <v>79.956950179605627</v>
      </c>
    </row>
    <row r="272" spans="1:12" x14ac:dyDescent="0.25">
      <c r="A272" s="1" t="s">
        <v>11</v>
      </c>
      <c r="B272" s="1">
        <v>2020</v>
      </c>
      <c r="C272" s="1" t="s">
        <v>19</v>
      </c>
      <c r="D272" s="1" t="s">
        <v>6</v>
      </c>
      <c r="E272" s="1">
        <v>80.786673445627287</v>
      </c>
      <c r="G272" t="s">
        <v>11</v>
      </c>
      <c r="H272">
        <v>2020</v>
      </c>
      <c r="I272" t="s">
        <v>19</v>
      </c>
      <c r="J272" t="s">
        <v>6</v>
      </c>
      <c r="K272" t="str">
        <f t="shared" si="4"/>
        <v>Rural2020July</v>
      </c>
      <c r="L272" s="2">
        <v>80.786673445627287</v>
      </c>
    </row>
    <row r="273" spans="1:12" x14ac:dyDescent="0.25">
      <c r="A273" s="1" t="s">
        <v>11</v>
      </c>
      <c r="B273" s="1">
        <v>2020</v>
      </c>
      <c r="C273" s="1" t="s">
        <v>19</v>
      </c>
      <c r="D273" s="1" t="s">
        <v>7</v>
      </c>
      <c r="E273" s="1">
        <v>81.350192356943055</v>
      </c>
      <c r="G273" t="s">
        <v>11</v>
      </c>
      <c r="H273">
        <v>2020</v>
      </c>
      <c r="I273" t="s">
        <v>19</v>
      </c>
      <c r="J273" t="s">
        <v>7</v>
      </c>
      <c r="K273" t="str">
        <f t="shared" si="4"/>
        <v>Urban2020July</v>
      </c>
      <c r="L273" s="2">
        <v>81.350192356943055</v>
      </c>
    </row>
    <row r="274" spans="1:12" x14ac:dyDescent="0.25">
      <c r="A274" s="1" t="s">
        <v>11</v>
      </c>
      <c r="B274" s="1">
        <v>2020</v>
      </c>
      <c r="C274" s="1" t="s">
        <v>19</v>
      </c>
      <c r="D274" s="1" t="s">
        <v>8</v>
      </c>
      <c r="E274" s="1">
        <v>81.063073996319531</v>
      </c>
      <c r="G274" t="s">
        <v>11</v>
      </c>
      <c r="H274">
        <v>2020</v>
      </c>
      <c r="I274" t="s">
        <v>19</v>
      </c>
      <c r="J274" t="s">
        <v>8</v>
      </c>
      <c r="K274" t="str">
        <f t="shared" si="4"/>
        <v>Combined2020July</v>
      </c>
      <c r="L274" s="2">
        <v>81.063073996319531</v>
      </c>
    </row>
    <row r="275" spans="1:12" x14ac:dyDescent="0.25">
      <c r="A275" s="1" t="s">
        <v>11</v>
      </c>
      <c r="B275" s="1">
        <v>2020</v>
      </c>
      <c r="C275" s="1" t="s">
        <v>20</v>
      </c>
      <c r="D275" s="1" t="s">
        <v>6</v>
      </c>
      <c r="E275" s="1">
        <v>81.152224004204797</v>
      </c>
      <c r="G275" t="s">
        <v>11</v>
      </c>
      <c r="H275">
        <v>2020</v>
      </c>
      <c r="I275" t="s">
        <v>20</v>
      </c>
      <c r="J275" t="s">
        <v>6</v>
      </c>
      <c r="K275" t="str">
        <f t="shared" si="4"/>
        <v>Rural2020August</v>
      </c>
      <c r="L275" s="2">
        <v>81.152224004204797</v>
      </c>
    </row>
    <row r="276" spans="1:12" x14ac:dyDescent="0.25">
      <c r="A276" s="1" t="s">
        <v>11</v>
      </c>
      <c r="B276" s="1">
        <v>2020</v>
      </c>
      <c r="C276" s="1" t="s">
        <v>20</v>
      </c>
      <c r="D276" s="1" t="s">
        <v>7</v>
      </c>
      <c r="E276" s="1">
        <v>81.935445539367109</v>
      </c>
      <c r="G276" t="s">
        <v>11</v>
      </c>
      <c r="H276">
        <v>2020</v>
      </c>
      <c r="I276" t="s">
        <v>20</v>
      </c>
      <c r="J276" t="s">
        <v>7</v>
      </c>
      <c r="K276" t="str">
        <f t="shared" si="4"/>
        <v>Urban2020August</v>
      </c>
      <c r="L276" s="2">
        <v>81.935445539367109</v>
      </c>
    </row>
    <row r="277" spans="1:12" x14ac:dyDescent="0.25">
      <c r="A277" s="1" t="s">
        <v>11</v>
      </c>
      <c r="B277" s="1">
        <v>2020</v>
      </c>
      <c r="C277" s="1" t="s">
        <v>20</v>
      </c>
      <c r="D277" s="1" t="s">
        <v>8</v>
      </c>
      <c r="E277" s="1">
        <v>81.484454497924816</v>
      </c>
      <c r="G277" t="s">
        <v>11</v>
      </c>
      <c r="H277">
        <v>2020</v>
      </c>
      <c r="I277" t="s">
        <v>20</v>
      </c>
      <c r="J277" t="s">
        <v>8</v>
      </c>
      <c r="K277" t="str">
        <f t="shared" si="4"/>
        <v>Combined2020August</v>
      </c>
      <c r="L277" s="2">
        <v>81.484454497924816</v>
      </c>
    </row>
    <row r="278" spans="1:12" x14ac:dyDescent="0.25">
      <c r="A278" s="1" t="s">
        <v>11</v>
      </c>
      <c r="B278" s="1">
        <v>2020</v>
      </c>
      <c r="C278" s="1" t="s">
        <v>21</v>
      </c>
      <c r="D278" s="1" t="s">
        <v>6</v>
      </c>
      <c r="E278" s="1">
        <v>82.248875679937285</v>
      </c>
      <c r="G278" t="s">
        <v>11</v>
      </c>
      <c r="H278">
        <v>2020</v>
      </c>
      <c r="I278" t="s">
        <v>21</v>
      </c>
      <c r="J278" t="s">
        <v>6</v>
      </c>
      <c r="K278" t="str">
        <f t="shared" si="4"/>
        <v>Rural2020September</v>
      </c>
      <c r="L278" s="2">
        <v>82.248875679937285</v>
      </c>
    </row>
    <row r="279" spans="1:12" x14ac:dyDescent="0.25">
      <c r="A279" s="1" t="s">
        <v>11</v>
      </c>
      <c r="B279" s="1">
        <v>2020</v>
      </c>
      <c r="C279" s="1" t="s">
        <v>21</v>
      </c>
      <c r="D279" s="1" t="s">
        <v>7</v>
      </c>
      <c r="E279" s="1">
        <v>82.573903556556971</v>
      </c>
      <c r="G279" t="s">
        <v>11</v>
      </c>
      <c r="H279">
        <v>2020</v>
      </c>
      <c r="I279" t="s">
        <v>21</v>
      </c>
      <c r="J279" t="s">
        <v>7</v>
      </c>
      <c r="K279" t="str">
        <f t="shared" si="4"/>
        <v>Urban2020September</v>
      </c>
      <c r="L279" s="2">
        <v>82.573903556556971</v>
      </c>
    </row>
    <row r="280" spans="1:12" x14ac:dyDescent="0.25">
      <c r="A280" s="1" t="s">
        <v>11</v>
      </c>
      <c r="B280" s="1">
        <v>2020</v>
      </c>
      <c r="C280" s="1" t="s">
        <v>21</v>
      </c>
      <c r="D280" s="1" t="s">
        <v>8</v>
      </c>
      <c r="E280" s="1">
        <v>82.379888063836091</v>
      </c>
      <c r="G280" t="s">
        <v>11</v>
      </c>
      <c r="H280">
        <v>2020</v>
      </c>
      <c r="I280" t="s">
        <v>21</v>
      </c>
      <c r="J280" t="s">
        <v>8</v>
      </c>
      <c r="K280" t="str">
        <f t="shared" si="4"/>
        <v>Combined2020September</v>
      </c>
      <c r="L280" s="2">
        <v>82.379888063836091</v>
      </c>
    </row>
    <row r="281" spans="1:12" x14ac:dyDescent="0.25">
      <c r="A281" s="1" t="s">
        <v>11</v>
      </c>
      <c r="B281" s="1">
        <v>2020</v>
      </c>
      <c r="C281" s="1" t="s">
        <v>22</v>
      </c>
      <c r="D281" s="1" t="s">
        <v>6</v>
      </c>
      <c r="E281" s="1">
        <v>83.449970372406227</v>
      </c>
      <c r="G281" t="s">
        <v>11</v>
      </c>
      <c r="H281">
        <v>2020</v>
      </c>
      <c r="I281" t="s">
        <v>22</v>
      </c>
      <c r="J281" t="s">
        <v>6</v>
      </c>
      <c r="K281" t="str">
        <f t="shared" si="4"/>
        <v>Rural2020October</v>
      </c>
      <c r="L281" s="2">
        <v>83.449970372406227</v>
      </c>
    </row>
    <row r="282" spans="1:12" x14ac:dyDescent="0.25">
      <c r="A282" s="1" t="s">
        <v>11</v>
      </c>
      <c r="B282" s="1">
        <v>2020</v>
      </c>
      <c r="C282" s="1" t="s">
        <v>22</v>
      </c>
      <c r="D282" s="1" t="s">
        <v>7</v>
      </c>
      <c r="E282" s="1">
        <v>83.371976078044312</v>
      </c>
      <c r="G282" t="s">
        <v>11</v>
      </c>
      <c r="H282">
        <v>2020</v>
      </c>
      <c r="I282" t="s">
        <v>22</v>
      </c>
      <c r="J282" t="s">
        <v>7</v>
      </c>
      <c r="K282" t="str">
        <f t="shared" si="4"/>
        <v>Urban2020October</v>
      </c>
      <c r="L282" s="2">
        <v>83.371976078044312</v>
      </c>
    </row>
    <row r="283" spans="1:12" x14ac:dyDescent="0.25">
      <c r="A283" s="1" t="s">
        <v>11</v>
      </c>
      <c r="B283" s="1">
        <v>2020</v>
      </c>
      <c r="C283" s="1" t="s">
        <v>22</v>
      </c>
      <c r="D283" s="1" t="s">
        <v>8</v>
      </c>
      <c r="E283" s="1">
        <v>83.433339317849345</v>
      </c>
      <c r="G283" t="s">
        <v>11</v>
      </c>
      <c r="H283">
        <v>2020</v>
      </c>
      <c r="I283" t="s">
        <v>22</v>
      </c>
      <c r="J283" t="s">
        <v>8</v>
      </c>
      <c r="K283" t="str">
        <f t="shared" si="4"/>
        <v>Combined2020October</v>
      </c>
      <c r="L283" s="2">
        <v>83.433339317849345</v>
      </c>
    </row>
    <row r="284" spans="1:12" x14ac:dyDescent="0.25">
      <c r="A284" s="1" t="s">
        <v>11</v>
      </c>
      <c r="B284" s="1">
        <v>2020</v>
      </c>
      <c r="C284" s="1" t="s">
        <v>23</v>
      </c>
      <c r="D284" s="1" t="s">
        <v>6</v>
      </c>
      <c r="E284" s="1">
        <v>83.919963947720134</v>
      </c>
      <c r="G284" t="s">
        <v>11</v>
      </c>
      <c r="H284">
        <v>2020</v>
      </c>
      <c r="I284" t="s">
        <v>23</v>
      </c>
      <c r="J284" t="s">
        <v>6</v>
      </c>
      <c r="K284" t="str">
        <f t="shared" si="4"/>
        <v>Rural2020November</v>
      </c>
      <c r="L284" s="2">
        <v>83.919963947720134</v>
      </c>
    </row>
    <row r="285" spans="1:12" x14ac:dyDescent="0.25">
      <c r="A285" s="1" t="s">
        <v>11</v>
      </c>
      <c r="B285" s="1">
        <v>2020</v>
      </c>
      <c r="C285" s="1" t="s">
        <v>23</v>
      </c>
      <c r="D285" s="1" t="s">
        <v>7</v>
      </c>
      <c r="E285" s="1">
        <v>83.47838574757597</v>
      </c>
      <c r="G285" t="s">
        <v>11</v>
      </c>
      <c r="H285">
        <v>2020</v>
      </c>
      <c r="I285" t="s">
        <v>23</v>
      </c>
      <c r="J285" t="s">
        <v>7</v>
      </c>
      <c r="K285" t="str">
        <f t="shared" si="4"/>
        <v>Urban2020November</v>
      </c>
      <c r="L285" s="2">
        <v>83.47838574757597</v>
      </c>
    </row>
    <row r="286" spans="1:12" x14ac:dyDescent="0.25">
      <c r="A286" s="1" t="s">
        <v>11</v>
      </c>
      <c r="B286" s="1">
        <v>2020</v>
      </c>
      <c r="C286" s="1" t="s">
        <v>23</v>
      </c>
      <c r="D286" s="1" t="s">
        <v>8</v>
      </c>
      <c r="E286" s="1">
        <v>83.696702131352652</v>
      </c>
      <c r="G286" t="s">
        <v>11</v>
      </c>
      <c r="H286">
        <v>2020</v>
      </c>
      <c r="I286" t="s">
        <v>23</v>
      </c>
      <c r="J286" t="s">
        <v>8</v>
      </c>
      <c r="K286" t="str">
        <f t="shared" si="4"/>
        <v>Combined2020November</v>
      </c>
      <c r="L286" s="2">
        <v>83.696702131352652</v>
      </c>
    </row>
    <row r="287" spans="1:12" x14ac:dyDescent="0.25">
      <c r="A287" s="1" t="s">
        <v>11</v>
      </c>
      <c r="B287" s="1">
        <v>2020</v>
      </c>
      <c r="C287" s="1" t="s">
        <v>24</v>
      </c>
      <c r="D287" s="1" t="s">
        <v>6</v>
      </c>
      <c r="E287" s="1">
        <v>82.771090763619426</v>
      </c>
      <c r="G287" t="s">
        <v>11</v>
      </c>
      <c r="H287">
        <v>2020</v>
      </c>
      <c r="I287" t="s">
        <v>24</v>
      </c>
      <c r="J287" t="s">
        <v>6</v>
      </c>
      <c r="K287" t="str">
        <f t="shared" si="4"/>
        <v>Rural2020December</v>
      </c>
      <c r="L287" s="2">
        <v>82.771090763619426</v>
      </c>
    </row>
    <row r="288" spans="1:12" x14ac:dyDescent="0.25">
      <c r="A288" s="1" t="s">
        <v>11</v>
      </c>
      <c r="B288" s="1">
        <v>2020</v>
      </c>
      <c r="C288" s="1" t="s">
        <v>24</v>
      </c>
      <c r="D288" s="1" t="s">
        <v>7</v>
      </c>
      <c r="E288" s="1">
        <v>82.99954223468356</v>
      </c>
      <c r="G288" t="s">
        <v>11</v>
      </c>
      <c r="H288">
        <v>2020</v>
      </c>
      <c r="I288" t="s">
        <v>24</v>
      </c>
      <c r="J288" t="s">
        <v>7</v>
      </c>
      <c r="K288" t="str">
        <f t="shared" si="4"/>
        <v>Urban2020December</v>
      </c>
      <c r="L288" s="2">
        <v>82.99954223468356</v>
      </c>
    </row>
    <row r="289" spans="1:12" x14ac:dyDescent="0.25">
      <c r="A289" s="1" t="s">
        <v>11</v>
      </c>
      <c r="B289" s="1">
        <v>2020</v>
      </c>
      <c r="C289" s="1" t="s">
        <v>24</v>
      </c>
      <c r="D289" s="1" t="s">
        <v>8</v>
      </c>
      <c r="E289" s="1">
        <v>82.853941128142054</v>
      </c>
      <c r="G289" t="s">
        <v>11</v>
      </c>
      <c r="H289">
        <v>2020</v>
      </c>
      <c r="I289" t="s">
        <v>24</v>
      </c>
      <c r="J289" t="s">
        <v>8</v>
      </c>
      <c r="K289" t="str">
        <f t="shared" si="4"/>
        <v>Combined2020December</v>
      </c>
      <c r="L289" s="2">
        <v>82.853941128142054</v>
      </c>
    </row>
    <row r="290" spans="1:12" x14ac:dyDescent="0.25">
      <c r="A290" s="1" t="s">
        <v>11</v>
      </c>
      <c r="B290" s="1">
        <v>2021</v>
      </c>
      <c r="C290" s="1" t="s">
        <v>10</v>
      </c>
      <c r="D290" s="1" t="s">
        <v>6</v>
      </c>
      <c r="E290" s="1">
        <v>81.883325121359803</v>
      </c>
      <c r="G290" t="s">
        <v>11</v>
      </c>
      <c r="H290">
        <v>2021</v>
      </c>
      <c r="I290" t="s">
        <v>10</v>
      </c>
      <c r="J290" t="s">
        <v>6</v>
      </c>
      <c r="K290" t="str">
        <f t="shared" si="4"/>
        <v>Rural2021January</v>
      </c>
      <c r="L290" s="2">
        <v>81.883325121359803</v>
      </c>
    </row>
    <row r="291" spans="1:12" x14ac:dyDescent="0.25">
      <c r="A291" s="1" t="s">
        <v>11</v>
      </c>
      <c r="B291" s="1">
        <v>2021</v>
      </c>
      <c r="C291" s="1" t="s">
        <v>10</v>
      </c>
      <c r="D291" s="1" t="s">
        <v>7</v>
      </c>
      <c r="E291" s="1">
        <v>82.893132565151916</v>
      </c>
      <c r="G291" t="s">
        <v>11</v>
      </c>
      <c r="H291">
        <v>2021</v>
      </c>
      <c r="I291" t="s">
        <v>10</v>
      </c>
      <c r="J291" t="s">
        <v>7</v>
      </c>
      <c r="K291" t="str">
        <f t="shared" si="4"/>
        <v>Urban2021January</v>
      </c>
      <c r="L291" s="2">
        <v>82.893132565151916</v>
      </c>
    </row>
    <row r="292" spans="1:12" x14ac:dyDescent="0.25">
      <c r="A292" s="1" t="s">
        <v>11</v>
      </c>
      <c r="B292" s="1">
        <v>2021</v>
      </c>
      <c r="C292" s="1" t="s">
        <v>10</v>
      </c>
      <c r="D292" s="1" t="s">
        <v>8</v>
      </c>
      <c r="E292" s="1">
        <v>82.327215501135427</v>
      </c>
      <c r="G292" t="s">
        <v>11</v>
      </c>
      <c r="H292">
        <v>2021</v>
      </c>
      <c r="I292" t="s">
        <v>10</v>
      </c>
      <c r="J292" t="s">
        <v>8</v>
      </c>
      <c r="K292" t="str">
        <f t="shared" si="4"/>
        <v>Combined2021January</v>
      </c>
      <c r="L292" s="2">
        <v>82.327215501135427</v>
      </c>
    </row>
    <row r="293" spans="1:12" x14ac:dyDescent="0.25">
      <c r="A293" s="1" t="s">
        <v>11</v>
      </c>
      <c r="B293" s="1">
        <v>2021</v>
      </c>
      <c r="C293" s="1" t="s">
        <v>14</v>
      </c>
      <c r="D293" s="1" t="s">
        <v>6</v>
      </c>
      <c r="E293" s="1">
        <v>81.831103612991569</v>
      </c>
      <c r="G293" t="s">
        <v>11</v>
      </c>
      <c r="H293">
        <v>2021</v>
      </c>
      <c r="I293" t="s">
        <v>14</v>
      </c>
      <c r="J293" t="s">
        <v>6</v>
      </c>
      <c r="K293" t="str">
        <f t="shared" si="4"/>
        <v>Rural2021February</v>
      </c>
      <c r="L293" s="2">
        <v>81.831103612991569</v>
      </c>
    </row>
    <row r="294" spans="1:12" x14ac:dyDescent="0.25">
      <c r="A294" s="1" t="s">
        <v>11</v>
      </c>
      <c r="B294" s="1">
        <v>2021</v>
      </c>
      <c r="C294" s="1" t="s">
        <v>14</v>
      </c>
      <c r="D294" s="1" t="s">
        <v>7</v>
      </c>
      <c r="E294" s="1">
        <v>83.265566408512669</v>
      </c>
      <c r="G294" t="s">
        <v>11</v>
      </c>
      <c r="H294">
        <v>2021</v>
      </c>
      <c r="I294" t="s">
        <v>14</v>
      </c>
      <c r="J294" t="s">
        <v>7</v>
      </c>
      <c r="K294" t="str">
        <f t="shared" si="4"/>
        <v>Urban2021February</v>
      </c>
      <c r="L294" s="2">
        <v>83.265566408512669</v>
      </c>
    </row>
    <row r="295" spans="1:12" x14ac:dyDescent="0.25">
      <c r="A295" s="1" t="s">
        <v>11</v>
      </c>
      <c r="B295" s="1">
        <v>2021</v>
      </c>
      <c r="C295" s="1" t="s">
        <v>14</v>
      </c>
      <c r="D295" s="1" t="s">
        <v>8</v>
      </c>
      <c r="E295" s="1">
        <v>82.485233189237405</v>
      </c>
      <c r="G295" t="s">
        <v>11</v>
      </c>
      <c r="H295">
        <v>2021</v>
      </c>
      <c r="I295" t="s">
        <v>14</v>
      </c>
      <c r="J295" t="s">
        <v>8</v>
      </c>
      <c r="K295" t="str">
        <f t="shared" si="4"/>
        <v>Combined2021February</v>
      </c>
      <c r="L295" s="2">
        <v>82.485233189237405</v>
      </c>
    </row>
    <row r="296" spans="1:12" x14ac:dyDescent="0.25">
      <c r="A296" s="1" t="s">
        <v>11</v>
      </c>
      <c r="B296" s="1">
        <v>2021</v>
      </c>
      <c r="C296" s="1" t="s">
        <v>15</v>
      </c>
      <c r="D296" s="1" t="s">
        <v>6</v>
      </c>
      <c r="E296" s="1">
        <v>81.831103612991569</v>
      </c>
      <c r="G296" t="s">
        <v>11</v>
      </c>
      <c r="H296">
        <v>2021</v>
      </c>
      <c r="I296" t="s">
        <v>15</v>
      </c>
      <c r="J296" t="s">
        <v>6</v>
      </c>
      <c r="K296" t="str">
        <f t="shared" si="4"/>
        <v>Rural2021March</v>
      </c>
      <c r="L296" s="2">
        <v>81.831103612991569</v>
      </c>
    </row>
    <row r="297" spans="1:12" x14ac:dyDescent="0.25">
      <c r="A297" s="1" t="s">
        <v>11</v>
      </c>
      <c r="B297" s="1">
        <v>2021</v>
      </c>
      <c r="C297" s="1" t="s">
        <v>15</v>
      </c>
      <c r="D297" s="1" t="s">
        <v>7</v>
      </c>
      <c r="E297" s="1">
        <v>83.47838574757597</v>
      </c>
      <c r="G297" t="s">
        <v>11</v>
      </c>
      <c r="H297">
        <v>2021</v>
      </c>
      <c r="I297" t="s">
        <v>15</v>
      </c>
      <c r="J297" t="s">
        <v>7</v>
      </c>
      <c r="K297" t="str">
        <f t="shared" si="4"/>
        <v>Urban2021March</v>
      </c>
      <c r="L297" s="2">
        <v>83.47838574757597</v>
      </c>
    </row>
    <row r="298" spans="1:12" x14ac:dyDescent="0.25">
      <c r="A298" s="1" t="s">
        <v>11</v>
      </c>
      <c r="B298" s="1">
        <v>2021</v>
      </c>
      <c r="C298" s="1" t="s">
        <v>15</v>
      </c>
      <c r="D298" s="1" t="s">
        <v>8</v>
      </c>
      <c r="E298" s="1">
        <v>82.590578314638748</v>
      </c>
      <c r="G298" t="s">
        <v>11</v>
      </c>
      <c r="H298">
        <v>2021</v>
      </c>
      <c r="I298" t="s">
        <v>15</v>
      </c>
      <c r="J298" t="s">
        <v>8</v>
      </c>
      <c r="K298" t="str">
        <f t="shared" si="4"/>
        <v>Combined2021March</v>
      </c>
      <c r="L298" s="2">
        <v>82.590578314638748</v>
      </c>
    </row>
    <row r="299" spans="1:12" x14ac:dyDescent="0.25">
      <c r="A299" s="1" t="s">
        <v>11</v>
      </c>
      <c r="B299" s="1">
        <v>2021</v>
      </c>
      <c r="C299" s="1" t="s">
        <v>16</v>
      </c>
      <c r="D299" s="1" t="s">
        <v>6</v>
      </c>
      <c r="E299" s="1">
        <v>82.301097188305505</v>
      </c>
      <c r="G299" t="s">
        <v>11</v>
      </c>
      <c r="H299">
        <v>2021</v>
      </c>
      <c r="I299" t="s">
        <v>16</v>
      </c>
      <c r="J299" t="s">
        <v>6</v>
      </c>
      <c r="K299" t="str">
        <f t="shared" si="4"/>
        <v>Rural2021April</v>
      </c>
      <c r="L299" s="2">
        <v>82.301097188305505</v>
      </c>
    </row>
    <row r="300" spans="1:12" x14ac:dyDescent="0.25">
      <c r="A300" s="1" t="s">
        <v>11</v>
      </c>
      <c r="B300" s="1">
        <v>2021</v>
      </c>
      <c r="C300" s="1" t="s">
        <v>16</v>
      </c>
      <c r="D300" s="1" t="s">
        <v>7</v>
      </c>
      <c r="E300" s="1">
        <v>84.06363893000001</v>
      </c>
      <c r="G300" t="s">
        <v>11</v>
      </c>
      <c r="H300">
        <v>2021</v>
      </c>
      <c r="I300" t="s">
        <v>16</v>
      </c>
      <c r="J300" t="s">
        <v>7</v>
      </c>
      <c r="K300" t="str">
        <f t="shared" si="4"/>
        <v>Urban2021April</v>
      </c>
      <c r="L300" s="2">
        <v>84.06363893000001</v>
      </c>
    </row>
    <row r="301" spans="1:12" x14ac:dyDescent="0.25">
      <c r="A301" s="1" t="s">
        <v>11</v>
      </c>
      <c r="B301" s="1">
        <v>2021</v>
      </c>
      <c r="C301" s="1" t="s">
        <v>16</v>
      </c>
      <c r="D301" s="1" t="s">
        <v>8</v>
      </c>
      <c r="E301" s="1">
        <v>83.117303941645375</v>
      </c>
      <c r="G301" t="s">
        <v>11</v>
      </c>
      <c r="H301">
        <v>2021</v>
      </c>
      <c r="I301" t="s">
        <v>16</v>
      </c>
      <c r="J301" t="s">
        <v>8</v>
      </c>
      <c r="K301" t="str">
        <f t="shared" si="4"/>
        <v>Combined2021April</v>
      </c>
      <c r="L301" s="2">
        <v>83.117303941645375</v>
      </c>
    </row>
    <row r="302" spans="1:12" x14ac:dyDescent="0.25">
      <c r="A302" s="1" t="s">
        <v>11</v>
      </c>
      <c r="B302" s="1">
        <v>2021</v>
      </c>
      <c r="C302" s="1" t="s">
        <v>17</v>
      </c>
      <c r="D302" s="1" t="s">
        <v>6</v>
      </c>
      <c r="E302" s="1">
        <v>84.128849981193</v>
      </c>
      <c r="G302" t="s">
        <v>11</v>
      </c>
      <c r="H302">
        <v>2021</v>
      </c>
      <c r="I302" t="s">
        <v>17</v>
      </c>
      <c r="J302" t="s">
        <v>6</v>
      </c>
      <c r="K302" t="str">
        <f t="shared" si="4"/>
        <v>Rural2021May</v>
      </c>
      <c r="L302" s="2">
        <v>84.128849981193</v>
      </c>
    </row>
    <row r="303" spans="1:12" x14ac:dyDescent="0.25">
      <c r="A303" s="1" t="s">
        <v>11</v>
      </c>
      <c r="B303" s="1">
        <v>2021</v>
      </c>
      <c r="C303" s="1" t="s">
        <v>17</v>
      </c>
      <c r="D303" s="1" t="s">
        <v>7</v>
      </c>
      <c r="E303" s="1">
        <v>84.861711451487352</v>
      </c>
      <c r="G303" t="s">
        <v>11</v>
      </c>
      <c r="H303">
        <v>2021</v>
      </c>
      <c r="I303" t="s">
        <v>17</v>
      </c>
      <c r="J303" t="s">
        <v>7</v>
      </c>
      <c r="K303" t="str">
        <f t="shared" si="4"/>
        <v>Urban2021May</v>
      </c>
      <c r="L303" s="2">
        <v>84.861711451487352</v>
      </c>
    </row>
    <row r="304" spans="1:12" x14ac:dyDescent="0.25">
      <c r="A304" s="1" t="s">
        <v>11</v>
      </c>
      <c r="B304" s="1">
        <v>2021</v>
      </c>
      <c r="C304" s="1" t="s">
        <v>17</v>
      </c>
      <c r="D304" s="1" t="s">
        <v>8</v>
      </c>
      <c r="E304" s="1">
        <v>84.486790571862585</v>
      </c>
      <c r="G304" t="s">
        <v>11</v>
      </c>
      <c r="H304">
        <v>2021</v>
      </c>
      <c r="I304" t="s">
        <v>17</v>
      </c>
      <c r="J304" t="s">
        <v>8</v>
      </c>
      <c r="K304" t="str">
        <f t="shared" si="4"/>
        <v>Combined2021May</v>
      </c>
      <c r="L304" s="2">
        <v>84.486790571862585</v>
      </c>
    </row>
    <row r="305" spans="1:12" x14ac:dyDescent="0.25">
      <c r="A305" s="1" t="s">
        <v>11</v>
      </c>
      <c r="B305" s="1">
        <v>2021</v>
      </c>
      <c r="C305" s="1" t="s">
        <v>18</v>
      </c>
      <c r="D305" s="1" t="s">
        <v>6</v>
      </c>
      <c r="E305" s="1">
        <v>84.651065064875141</v>
      </c>
      <c r="G305" t="s">
        <v>11</v>
      </c>
      <c r="H305">
        <v>2021</v>
      </c>
      <c r="I305" t="s">
        <v>18</v>
      </c>
      <c r="J305" t="s">
        <v>6</v>
      </c>
      <c r="K305" t="str">
        <f t="shared" si="4"/>
        <v>Rural2021June</v>
      </c>
      <c r="L305" s="2">
        <v>84.651065064875141</v>
      </c>
    </row>
    <row r="306" spans="1:12" x14ac:dyDescent="0.25">
      <c r="A306" s="1" t="s">
        <v>11</v>
      </c>
      <c r="B306" s="1">
        <v>2021</v>
      </c>
      <c r="C306" s="1" t="s">
        <v>18</v>
      </c>
      <c r="D306" s="1" t="s">
        <v>7</v>
      </c>
      <c r="E306" s="1">
        <v>85.340554964379763</v>
      </c>
      <c r="G306" t="s">
        <v>11</v>
      </c>
      <c r="H306">
        <v>2021</v>
      </c>
      <c r="I306" t="s">
        <v>18</v>
      </c>
      <c r="J306" t="s">
        <v>7</v>
      </c>
      <c r="K306" t="str">
        <f t="shared" si="4"/>
        <v>Urban2021June</v>
      </c>
      <c r="L306" s="2">
        <v>85.340554964379763</v>
      </c>
    </row>
    <row r="307" spans="1:12" x14ac:dyDescent="0.25">
      <c r="A307" s="1" t="s">
        <v>11</v>
      </c>
      <c r="B307" s="1">
        <v>2021</v>
      </c>
      <c r="C307" s="1" t="s">
        <v>18</v>
      </c>
      <c r="D307" s="1" t="s">
        <v>8</v>
      </c>
      <c r="E307" s="1">
        <v>84.960843636168562</v>
      </c>
      <c r="G307" t="s">
        <v>11</v>
      </c>
      <c r="H307">
        <v>2021</v>
      </c>
      <c r="I307" t="s">
        <v>18</v>
      </c>
      <c r="J307" t="s">
        <v>8</v>
      </c>
      <c r="K307" t="str">
        <f t="shared" si="4"/>
        <v>Combined2021June</v>
      </c>
      <c r="L307" s="2">
        <v>84.960843636168562</v>
      </c>
    </row>
    <row r="308" spans="1:12" x14ac:dyDescent="0.25">
      <c r="A308" s="1" t="s">
        <v>11</v>
      </c>
      <c r="B308" s="1">
        <v>2021</v>
      </c>
      <c r="C308" s="1" t="s">
        <v>19</v>
      </c>
      <c r="D308" s="1" t="s">
        <v>6</v>
      </c>
      <c r="E308" s="1">
        <v>85.225501656925488</v>
      </c>
      <c r="G308" t="s">
        <v>11</v>
      </c>
      <c r="H308">
        <v>2021</v>
      </c>
      <c r="I308" t="s">
        <v>19</v>
      </c>
      <c r="J308" t="s">
        <v>6</v>
      </c>
      <c r="K308" t="str">
        <f t="shared" si="4"/>
        <v>Rural2021July</v>
      </c>
      <c r="L308" s="2">
        <v>85.225501656925488</v>
      </c>
    </row>
    <row r="309" spans="1:12" x14ac:dyDescent="0.25">
      <c r="A309" s="1" t="s">
        <v>11</v>
      </c>
      <c r="B309" s="1">
        <v>2021</v>
      </c>
      <c r="C309" s="1" t="s">
        <v>19</v>
      </c>
      <c r="D309" s="1" t="s">
        <v>7</v>
      </c>
      <c r="E309" s="1">
        <v>86.085422651101283</v>
      </c>
      <c r="G309" t="s">
        <v>11</v>
      </c>
      <c r="H309">
        <v>2021</v>
      </c>
      <c r="I309" t="s">
        <v>19</v>
      </c>
      <c r="J309" t="s">
        <v>7</v>
      </c>
      <c r="K309" t="str">
        <f t="shared" si="4"/>
        <v>Urban2021July</v>
      </c>
      <c r="L309" s="2">
        <v>86.085422651101283</v>
      </c>
    </row>
    <row r="310" spans="1:12" x14ac:dyDescent="0.25">
      <c r="A310" s="1" t="s">
        <v>11</v>
      </c>
      <c r="B310" s="1">
        <v>2021</v>
      </c>
      <c r="C310" s="1" t="s">
        <v>19</v>
      </c>
      <c r="D310" s="1" t="s">
        <v>8</v>
      </c>
      <c r="E310" s="1">
        <v>85.592914388576503</v>
      </c>
      <c r="G310" t="s">
        <v>11</v>
      </c>
      <c r="H310">
        <v>2021</v>
      </c>
      <c r="I310" t="s">
        <v>19</v>
      </c>
      <c r="J310" t="s">
        <v>8</v>
      </c>
      <c r="K310" t="str">
        <f t="shared" si="4"/>
        <v>Combined2021July</v>
      </c>
      <c r="L310" s="2">
        <v>85.592914388576503</v>
      </c>
    </row>
    <row r="311" spans="1:12" x14ac:dyDescent="0.25">
      <c r="A311" s="1" t="s">
        <v>11</v>
      </c>
      <c r="B311" s="1">
        <v>2021</v>
      </c>
      <c r="C311" s="1" t="s">
        <v>20</v>
      </c>
      <c r="D311" s="1" t="s">
        <v>6</v>
      </c>
      <c r="E311" s="1">
        <v>85.434387690398353</v>
      </c>
      <c r="G311" t="s">
        <v>11</v>
      </c>
      <c r="H311">
        <v>2021</v>
      </c>
      <c r="I311" t="s">
        <v>20</v>
      </c>
      <c r="J311" t="s">
        <v>6</v>
      </c>
      <c r="K311" t="str">
        <f t="shared" si="4"/>
        <v>Rural2021August</v>
      </c>
      <c r="L311" s="2">
        <v>85.434387690398353</v>
      </c>
    </row>
    <row r="312" spans="1:12" x14ac:dyDescent="0.25">
      <c r="A312" s="1" t="s">
        <v>11</v>
      </c>
      <c r="B312" s="1">
        <v>2021</v>
      </c>
      <c r="C312" s="1" t="s">
        <v>20</v>
      </c>
      <c r="D312" s="1" t="s">
        <v>7</v>
      </c>
      <c r="E312" s="1">
        <v>86.29824199016457</v>
      </c>
      <c r="G312" t="s">
        <v>11</v>
      </c>
      <c r="H312">
        <v>2021</v>
      </c>
      <c r="I312" t="s">
        <v>20</v>
      </c>
      <c r="J312" t="s">
        <v>7</v>
      </c>
      <c r="K312" t="str">
        <f t="shared" si="4"/>
        <v>Urban2021August</v>
      </c>
      <c r="L312" s="2">
        <v>86.29824199016457</v>
      </c>
    </row>
    <row r="313" spans="1:12" x14ac:dyDescent="0.25">
      <c r="A313" s="1" t="s">
        <v>11</v>
      </c>
      <c r="B313" s="1">
        <v>2021</v>
      </c>
      <c r="C313" s="1" t="s">
        <v>20</v>
      </c>
      <c r="D313" s="1" t="s">
        <v>8</v>
      </c>
      <c r="E313" s="1">
        <v>85.803604639379159</v>
      </c>
      <c r="G313" t="s">
        <v>11</v>
      </c>
      <c r="H313">
        <v>2021</v>
      </c>
      <c r="I313" t="s">
        <v>20</v>
      </c>
      <c r="J313" t="s">
        <v>8</v>
      </c>
      <c r="K313" t="str">
        <f t="shared" si="4"/>
        <v>Combined2021August</v>
      </c>
      <c r="L313" s="2">
        <v>85.803604639379159</v>
      </c>
    </row>
    <row r="314" spans="1:12" x14ac:dyDescent="0.25">
      <c r="A314" s="1" t="s">
        <v>11</v>
      </c>
      <c r="B314" s="1">
        <v>2021</v>
      </c>
      <c r="C314" s="1" t="s">
        <v>21</v>
      </c>
      <c r="D314" s="1" t="s">
        <v>6</v>
      </c>
      <c r="E314" s="1">
        <v>85.643273723871218</v>
      </c>
      <c r="G314" t="s">
        <v>11</v>
      </c>
      <c r="H314">
        <v>2021</v>
      </c>
      <c r="I314" t="s">
        <v>21</v>
      </c>
      <c r="J314" t="s">
        <v>6</v>
      </c>
      <c r="K314" t="str">
        <f t="shared" si="4"/>
        <v>Rural2021September</v>
      </c>
      <c r="L314" s="2">
        <v>85.643273723871218</v>
      </c>
    </row>
    <row r="315" spans="1:12" x14ac:dyDescent="0.25">
      <c r="A315" s="1" t="s">
        <v>11</v>
      </c>
      <c r="B315" s="1">
        <v>2021</v>
      </c>
      <c r="C315" s="1" t="s">
        <v>21</v>
      </c>
      <c r="D315" s="1" t="s">
        <v>7</v>
      </c>
      <c r="E315" s="1">
        <v>86.351446824930406</v>
      </c>
      <c r="G315" t="s">
        <v>11</v>
      </c>
      <c r="H315">
        <v>2021</v>
      </c>
      <c r="I315" t="s">
        <v>21</v>
      </c>
      <c r="J315" t="s">
        <v>7</v>
      </c>
      <c r="K315" t="str">
        <f t="shared" si="4"/>
        <v>Urban2021September</v>
      </c>
      <c r="L315" s="2">
        <v>86.351446824930406</v>
      </c>
    </row>
    <row r="316" spans="1:12" x14ac:dyDescent="0.25">
      <c r="A316" s="1" t="s">
        <v>11</v>
      </c>
      <c r="B316" s="1">
        <v>2021</v>
      </c>
      <c r="C316" s="1" t="s">
        <v>21</v>
      </c>
      <c r="D316" s="1" t="s">
        <v>8</v>
      </c>
      <c r="E316" s="1">
        <v>85.961622327481138</v>
      </c>
      <c r="G316" t="s">
        <v>11</v>
      </c>
      <c r="H316">
        <v>2021</v>
      </c>
      <c r="I316" t="s">
        <v>21</v>
      </c>
      <c r="J316" t="s">
        <v>8</v>
      </c>
      <c r="K316" t="str">
        <f t="shared" si="4"/>
        <v>Combined2021September</v>
      </c>
      <c r="L316" s="2">
        <v>85.961622327481138</v>
      </c>
    </row>
    <row r="317" spans="1:12" x14ac:dyDescent="0.25">
      <c r="A317" s="1" t="s">
        <v>11</v>
      </c>
      <c r="B317" s="1">
        <v>2021</v>
      </c>
      <c r="C317" s="1" t="s">
        <v>22</v>
      </c>
      <c r="D317" s="1" t="s">
        <v>6</v>
      </c>
      <c r="E317" s="1">
        <v>86.844368416340146</v>
      </c>
      <c r="G317" t="s">
        <v>11</v>
      </c>
      <c r="H317">
        <v>2021</v>
      </c>
      <c r="I317" t="s">
        <v>22</v>
      </c>
      <c r="J317" t="s">
        <v>6</v>
      </c>
      <c r="K317" t="str">
        <f t="shared" si="4"/>
        <v>Rural2021October</v>
      </c>
      <c r="L317" s="2">
        <v>86.844368416340146</v>
      </c>
    </row>
    <row r="318" spans="1:12" x14ac:dyDescent="0.25">
      <c r="A318" s="1" t="s">
        <v>11</v>
      </c>
      <c r="B318" s="1">
        <v>2021</v>
      </c>
      <c r="C318" s="1" t="s">
        <v>22</v>
      </c>
      <c r="D318" s="1" t="s">
        <v>7</v>
      </c>
      <c r="E318" s="1">
        <v>87.575158024544322</v>
      </c>
      <c r="G318" t="s">
        <v>11</v>
      </c>
      <c r="H318">
        <v>2021</v>
      </c>
      <c r="I318" t="s">
        <v>22</v>
      </c>
      <c r="J318" t="s">
        <v>7</v>
      </c>
      <c r="K318" t="str">
        <f t="shared" si="4"/>
        <v>Urban2021October</v>
      </c>
      <c r="L318" s="2">
        <v>87.575158024544322</v>
      </c>
    </row>
    <row r="319" spans="1:12" x14ac:dyDescent="0.25">
      <c r="A319" s="1" t="s">
        <v>11</v>
      </c>
      <c r="B319" s="1">
        <v>2021</v>
      </c>
      <c r="C319" s="1" t="s">
        <v>22</v>
      </c>
      <c r="D319" s="1" t="s">
        <v>8</v>
      </c>
      <c r="E319" s="1">
        <v>87.17309126959637</v>
      </c>
      <c r="G319" t="s">
        <v>11</v>
      </c>
      <c r="H319">
        <v>2021</v>
      </c>
      <c r="I319" t="s">
        <v>22</v>
      </c>
      <c r="J319" t="s">
        <v>8</v>
      </c>
      <c r="K319" t="str">
        <f t="shared" si="4"/>
        <v>Combined2021October</v>
      </c>
      <c r="L319" s="2">
        <v>87.17309126959637</v>
      </c>
    </row>
    <row r="320" spans="1:12" x14ac:dyDescent="0.25">
      <c r="A320" s="1" t="s">
        <v>11</v>
      </c>
      <c r="B320" s="1">
        <v>2021</v>
      </c>
      <c r="C320" s="1" t="s">
        <v>23</v>
      </c>
      <c r="D320" s="1" t="s">
        <v>6</v>
      </c>
      <c r="E320" s="1">
        <v>87.523248025126918</v>
      </c>
      <c r="G320" t="s">
        <v>11</v>
      </c>
      <c r="H320">
        <v>2021</v>
      </c>
      <c r="I320" t="s">
        <v>23</v>
      </c>
      <c r="J320" t="s">
        <v>6</v>
      </c>
      <c r="K320" t="str">
        <f t="shared" si="4"/>
        <v>Rural2021November</v>
      </c>
      <c r="L320" s="2">
        <v>87.523248025126918</v>
      </c>
    </row>
    <row r="321" spans="1:12" x14ac:dyDescent="0.25">
      <c r="A321" s="1" t="s">
        <v>11</v>
      </c>
      <c r="B321" s="1">
        <v>2021</v>
      </c>
      <c r="C321" s="1" t="s">
        <v>23</v>
      </c>
      <c r="D321" s="1" t="s">
        <v>7</v>
      </c>
      <c r="E321" s="1">
        <v>88.10720637220254</v>
      </c>
      <c r="G321" t="s">
        <v>11</v>
      </c>
      <c r="H321">
        <v>2021</v>
      </c>
      <c r="I321" t="s">
        <v>23</v>
      </c>
      <c r="J321" t="s">
        <v>7</v>
      </c>
      <c r="K321" t="str">
        <f t="shared" si="4"/>
        <v>Urban2021November</v>
      </c>
      <c r="L321" s="2">
        <v>88.10720637220254</v>
      </c>
    </row>
    <row r="322" spans="1:12" x14ac:dyDescent="0.25">
      <c r="A322" s="1" t="s">
        <v>11</v>
      </c>
      <c r="B322" s="1">
        <v>2021</v>
      </c>
      <c r="C322" s="1" t="s">
        <v>23</v>
      </c>
      <c r="D322" s="1" t="s">
        <v>8</v>
      </c>
      <c r="E322" s="1">
        <v>87.805162022004325</v>
      </c>
      <c r="G322" t="s">
        <v>11</v>
      </c>
      <c r="H322">
        <v>2021</v>
      </c>
      <c r="I322" t="s">
        <v>23</v>
      </c>
      <c r="J322" t="s">
        <v>8</v>
      </c>
      <c r="K322" t="str">
        <f t="shared" si="4"/>
        <v>Combined2021November</v>
      </c>
      <c r="L322" s="2">
        <v>87.805162022004325</v>
      </c>
    </row>
    <row r="323" spans="1:12" x14ac:dyDescent="0.25">
      <c r="A323" s="1" t="s">
        <v>11</v>
      </c>
      <c r="B323" s="1">
        <v>2021</v>
      </c>
      <c r="C323" s="1" t="s">
        <v>24</v>
      </c>
      <c r="D323" s="1" t="s">
        <v>6</v>
      </c>
      <c r="E323" s="1">
        <v>87.209918974917642</v>
      </c>
      <c r="G323" t="s">
        <v>11</v>
      </c>
      <c r="H323">
        <v>2021</v>
      </c>
      <c r="I323" t="s">
        <v>24</v>
      </c>
      <c r="J323" t="s">
        <v>6</v>
      </c>
      <c r="K323" t="str">
        <f t="shared" ref="K323:K386" si="5">CONCATENATE(J323,H323,I323)</f>
        <v>Rural2021December</v>
      </c>
      <c r="L323" s="2">
        <v>87.209918974917642</v>
      </c>
    </row>
    <row r="324" spans="1:12" x14ac:dyDescent="0.25">
      <c r="A324" s="1" t="s">
        <v>11</v>
      </c>
      <c r="B324" s="1">
        <v>2021</v>
      </c>
      <c r="C324" s="1" t="s">
        <v>24</v>
      </c>
      <c r="D324" s="1" t="s">
        <v>7</v>
      </c>
      <c r="E324" s="1">
        <v>87.894387033139253</v>
      </c>
      <c r="G324" t="s">
        <v>11</v>
      </c>
      <c r="H324">
        <v>2021</v>
      </c>
      <c r="I324" t="s">
        <v>24</v>
      </c>
      <c r="J324" t="s">
        <v>7</v>
      </c>
      <c r="K324" t="str">
        <f t="shared" si="5"/>
        <v>Urban2021December</v>
      </c>
      <c r="L324" s="2">
        <v>87.894387033139253</v>
      </c>
    </row>
    <row r="325" spans="1:12" x14ac:dyDescent="0.25">
      <c r="A325" s="1" t="s">
        <v>11</v>
      </c>
      <c r="B325" s="1">
        <v>2021</v>
      </c>
      <c r="C325" s="1" t="s">
        <v>24</v>
      </c>
      <c r="D325" s="1" t="s">
        <v>8</v>
      </c>
      <c r="E325" s="1">
        <v>87.541799208501004</v>
      </c>
      <c r="G325" t="s">
        <v>11</v>
      </c>
      <c r="H325">
        <v>2021</v>
      </c>
      <c r="I325" t="s">
        <v>24</v>
      </c>
      <c r="J325" t="s">
        <v>8</v>
      </c>
      <c r="K325" t="str">
        <f t="shared" si="5"/>
        <v>Combined2021December</v>
      </c>
      <c r="L325" s="2">
        <v>87.541799208501004</v>
      </c>
    </row>
    <row r="326" spans="1:12" x14ac:dyDescent="0.25">
      <c r="A326" s="1" t="s">
        <v>11</v>
      </c>
      <c r="B326" s="1">
        <v>2022</v>
      </c>
      <c r="C326" s="1" t="s">
        <v>10</v>
      </c>
      <c r="D326" s="1" t="s">
        <v>6</v>
      </c>
      <c r="E326" s="1">
        <v>86.896589924708351</v>
      </c>
      <c r="G326" t="s">
        <v>11</v>
      </c>
      <c r="H326">
        <v>2022</v>
      </c>
      <c r="I326" t="s">
        <v>10</v>
      </c>
      <c r="J326" t="s">
        <v>6</v>
      </c>
      <c r="K326" t="str">
        <f t="shared" si="5"/>
        <v>Rural2022January</v>
      </c>
      <c r="L326" s="2">
        <v>86.896589924708351</v>
      </c>
    </row>
    <row r="327" spans="1:12" x14ac:dyDescent="0.25">
      <c r="A327" s="1" t="s">
        <v>11</v>
      </c>
      <c r="B327" s="1">
        <v>2022</v>
      </c>
      <c r="C327" s="1" t="s">
        <v>10</v>
      </c>
      <c r="D327" s="1" t="s">
        <v>7</v>
      </c>
      <c r="E327" s="1">
        <v>87.78797736360761</v>
      </c>
      <c r="G327" t="s">
        <v>11</v>
      </c>
      <c r="H327">
        <v>2022</v>
      </c>
      <c r="I327" t="s">
        <v>10</v>
      </c>
      <c r="J327" t="s">
        <v>7</v>
      </c>
      <c r="K327" t="str">
        <f t="shared" si="5"/>
        <v>Urban2022January</v>
      </c>
      <c r="L327" s="2">
        <v>87.78797736360761</v>
      </c>
    </row>
    <row r="328" spans="1:12" x14ac:dyDescent="0.25">
      <c r="A328" s="1" t="s">
        <v>11</v>
      </c>
      <c r="B328" s="1">
        <v>2022</v>
      </c>
      <c r="C328" s="1" t="s">
        <v>10</v>
      </c>
      <c r="D328" s="1" t="s">
        <v>8</v>
      </c>
      <c r="E328" s="1">
        <v>87.278436394997698</v>
      </c>
      <c r="G328" t="s">
        <v>11</v>
      </c>
      <c r="H328">
        <v>2022</v>
      </c>
      <c r="I328" t="s">
        <v>10</v>
      </c>
      <c r="J328" t="s">
        <v>8</v>
      </c>
      <c r="K328" t="str">
        <f t="shared" si="5"/>
        <v>Combined2022January</v>
      </c>
      <c r="L328" s="2">
        <v>87.278436394997698</v>
      </c>
    </row>
    <row r="329" spans="1:12" x14ac:dyDescent="0.25">
      <c r="A329" s="1" t="s">
        <v>11</v>
      </c>
      <c r="B329" s="1">
        <v>2022</v>
      </c>
      <c r="C329" s="1" t="s">
        <v>14</v>
      </c>
      <c r="D329" s="1" t="s">
        <v>6</v>
      </c>
      <c r="E329" s="1">
        <v>87.053254449812982</v>
      </c>
      <c r="G329" t="s">
        <v>11</v>
      </c>
      <c r="H329">
        <v>2022</v>
      </c>
      <c r="I329" t="s">
        <v>14</v>
      </c>
      <c r="J329" t="s">
        <v>6</v>
      </c>
      <c r="K329" t="str">
        <f t="shared" si="5"/>
        <v>Rural2022February</v>
      </c>
      <c r="L329" s="2">
        <v>87.053254449812982</v>
      </c>
    </row>
    <row r="330" spans="1:12" x14ac:dyDescent="0.25">
      <c r="A330" s="1" t="s">
        <v>11</v>
      </c>
      <c r="B330" s="1">
        <v>2022</v>
      </c>
      <c r="C330" s="1" t="s">
        <v>14</v>
      </c>
      <c r="D330" s="1" t="s">
        <v>7</v>
      </c>
      <c r="E330" s="1">
        <v>88.054001537436719</v>
      </c>
      <c r="G330" t="s">
        <v>11</v>
      </c>
      <c r="H330">
        <v>2022</v>
      </c>
      <c r="I330" t="s">
        <v>14</v>
      </c>
      <c r="J330" t="s">
        <v>7</v>
      </c>
      <c r="K330" t="str">
        <f t="shared" si="5"/>
        <v>Urban2022February</v>
      </c>
      <c r="L330" s="2">
        <v>88.054001537436719</v>
      </c>
    </row>
    <row r="331" spans="1:12" x14ac:dyDescent="0.25">
      <c r="A331" s="1" t="s">
        <v>11</v>
      </c>
      <c r="B331" s="1">
        <v>2022</v>
      </c>
      <c r="C331" s="1" t="s">
        <v>14</v>
      </c>
      <c r="D331" s="1" t="s">
        <v>8</v>
      </c>
      <c r="E331" s="1">
        <v>87.48912664580034</v>
      </c>
      <c r="G331" t="s">
        <v>11</v>
      </c>
      <c r="H331">
        <v>2022</v>
      </c>
      <c r="I331" t="s">
        <v>14</v>
      </c>
      <c r="J331" t="s">
        <v>8</v>
      </c>
      <c r="K331" t="str">
        <f t="shared" si="5"/>
        <v>Combined2022February</v>
      </c>
      <c r="L331" s="2">
        <v>87.48912664580034</v>
      </c>
    </row>
    <row r="332" spans="1:12" x14ac:dyDescent="0.25">
      <c r="A332" s="1" t="s">
        <v>11</v>
      </c>
      <c r="B332" s="1">
        <v>2022</v>
      </c>
      <c r="C332" s="1" t="s">
        <v>15</v>
      </c>
      <c r="D332" s="1" t="s">
        <v>6</v>
      </c>
      <c r="E332" s="1">
        <v>88.097684617177265</v>
      </c>
      <c r="G332" t="s">
        <v>11</v>
      </c>
      <c r="H332">
        <v>2022</v>
      </c>
      <c r="I332" t="s">
        <v>15</v>
      </c>
      <c r="J332" t="s">
        <v>6</v>
      </c>
      <c r="K332" t="str">
        <f t="shared" si="5"/>
        <v>Rural2022March</v>
      </c>
      <c r="L332" s="2">
        <v>88.097684617177265</v>
      </c>
    </row>
    <row r="333" spans="1:12" x14ac:dyDescent="0.25">
      <c r="A333" s="1" t="s">
        <v>11</v>
      </c>
      <c r="B333" s="1">
        <v>2022</v>
      </c>
      <c r="C333" s="1" t="s">
        <v>15</v>
      </c>
      <c r="D333" s="1" t="s">
        <v>7</v>
      </c>
      <c r="E333" s="1">
        <v>88.586049885094951</v>
      </c>
      <c r="G333" t="s">
        <v>11</v>
      </c>
      <c r="H333">
        <v>2022</v>
      </c>
      <c r="I333" t="s">
        <v>15</v>
      </c>
      <c r="J333" t="s">
        <v>7</v>
      </c>
      <c r="K333" t="str">
        <f t="shared" si="5"/>
        <v>Urban2022March</v>
      </c>
      <c r="L333" s="2">
        <v>88.586049885094951</v>
      </c>
    </row>
    <row r="334" spans="1:12" x14ac:dyDescent="0.25">
      <c r="A334" s="1" t="s">
        <v>11</v>
      </c>
      <c r="B334" s="1">
        <v>2022</v>
      </c>
      <c r="C334" s="1" t="s">
        <v>15</v>
      </c>
      <c r="D334" s="1" t="s">
        <v>8</v>
      </c>
      <c r="E334" s="1">
        <v>88.331887649010937</v>
      </c>
      <c r="G334" t="s">
        <v>11</v>
      </c>
      <c r="H334">
        <v>2022</v>
      </c>
      <c r="I334" t="s">
        <v>15</v>
      </c>
      <c r="J334" t="s">
        <v>8</v>
      </c>
      <c r="K334" t="str">
        <f t="shared" si="5"/>
        <v>Combined2022March</v>
      </c>
      <c r="L334" s="2">
        <v>88.331887649010937</v>
      </c>
    </row>
    <row r="335" spans="1:12" x14ac:dyDescent="0.25">
      <c r="A335" s="1" t="s">
        <v>11</v>
      </c>
      <c r="B335" s="1">
        <v>2022</v>
      </c>
      <c r="C335" s="1" t="s">
        <v>16</v>
      </c>
      <c r="D335" s="1" t="s">
        <v>6</v>
      </c>
      <c r="E335" s="1">
        <v>89.194336292909782</v>
      </c>
      <c r="G335" t="s">
        <v>11</v>
      </c>
      <c r="H335">
        <v>2022</v>
      </c>
      <c r="I335" t="s">
        <v>16</v>
      </c>
      <c r="J335" t="s">
        <v>6</v>
      </c>
      <c r="K335" t="str">
        <f t="shared" si="5"/>
        <v>Rural2022April</v>
      </c>
      <c r="L335" s="2">
        <v>89.194336292909782</v>
      </c>
    </row>
    <row r="336" spans="1:12" x14ac:dyDescent="0.25">
      <c r="A336" s="1" t="s">
        <v>11</v>
      </c>
      <c r="B336" s="1">
        <v>2022</v>
      </c>
      <c r="C336" s="1" t="s">
        <v>16</v>
      </c>
      <c r="D336" s="1" t="s">
        <v>7</v>
      </c>
      <c r="E336" s="1">
        <v>90.022580423772169</v>
      </c>
      <c r="G336" t="s">
        <v>11</v>
      </c>
      <c r="H336">
        <v>2022</v>
      </c>
      <c r="I336" t="s">
        <v>16</v>
      </c>
      <c r="J336" t="s">
        <v>7</v>
      </c>
      <c r="K336" t="str">
        <f t="shared" si="5"/>
        <v>Urban2022April</v>
      </c>
      <c r="L336" s="2">
        <v>90.022580423772169</v>
      </c>
    </row>
    <row r="337" spans="1:12" x14ac:dyDescent="0.25">
      <c r="A337" s="1" t="s">
        <v>11</v>
      </c>
      <c r="B337" s="1">
        <v>2022</v>
      </c>
      <c r="C337" s="1" t="s">
        <v>16</v>
      </c>
      <c r="D337" s="1" t="s">
        <v>8</v>
      </c>
      <c r="E337" s="1">
        <v>89.596029153826848</v>
      </c>
      <c r="G337" t="s">
        <v>11</v>
      </c>
      <c r="H337">
        <v>2022</v>
      </c>
      <c r="I337" t="s">
        <v>16</v>
      </c>
      <c r="J337" t="s">
        <v>8</v>
      </c>
      <c r="K337" t="str">
        <f t="shared" si="5"/>
        <v>Combined2022April</v>
      </c>
      <c r="L337" s="2">
        <v>89.596029153826848</v>
      </c>
    </row>
    <row r="338" spans="1:12" x14ac:dyDescent="0.25">
      <c r="A338" s="1" t="s">
        <v>11</v>
      </c>
      <c r="B338" s="1">
        <v>2022</v>
      </c>
      <c r="C338" s="1" t="s">
        <v>17</v>
      </c>
      <c r="D338" s="1" t="s">
        <v>6</v>
      </c>
      <c r="E338" s="1">
        <v>90.082101935169419</v>
      </c>
      <c r="G338" t="s">
        <v>11</v>
      </c>
      <c r="H338">
        <v>2022</v>
      </c>
      <c r="I338" t="s">
        <v>17</v>
      </c>
      <c r="J338" t="s">
        <v>6</v>
      </c>
      <c r="K338" t="str">
        <f t="shared" si="5"/>
        <v>Rural2022May</v>
      </c>
      <c r="L338" s="2">
        <v>90.082101935169419</v>
      </c>
    </row>
    <row r="339" spans="1:12" x14ac:dyDescent="0.25">
      <c r="A339" s="1" t="s">
        <v>11</v>
      </c>
      <c r="B339" s="1">
        <v>2022</v>
      </c>
      <c r="C339" s="1" t="s">
        <v>17</v>
      </c>
      <c r="D339" s="1" t="s">
        <v>7</v>
      </c>
      <c r="E339" s="1">
        <v>90.873857780025347</v>
      </c>
      <c r="G339" t="s">
        <v>11</v>
      </c>
      <c r="H339">
        <v>2022</v>
      </c>
      <c r="I339" t="s">
        <v>17</v>
      </c>
      <c r="J339" t="s">
        <v>7</v>
      </c>
      <c r="K339" t="str">
        <f t="shared" si="5"/>
        <v>Urban2022May</v>
      </c>
      <c r="L339" s="2">
        <v>90.873857780025347</v>
      </c>
    </row>
    <row r="340" spans="1:12" x14ac:dyDescent="0.25">
      <c r="A340" s="1" t="s">
        <v>11</v>
      </c>
      <c r="B340" s="1">
        <v>2022</v>
      </c>
      <c r="C340" s="1" t="s">
        <v>17</v>
      </c>
      <c r="D340" s="1" t="s">
        <v>8</v>
      </c>
      <c r="E340" s="1">
        <v>90.438790157037445</v>
      </c>
      <c r="G340" t="s">
        <v>11</v>
      </c>
      <c r="H340">
        <v>2022</v>
      </c>
      <c r="I340" t="s">
        <v>17</v>
      </c>
      <c r="J340" t="s">
        <v>8</v>
      </c>
      <c r="K340" t="str">
        <f t="shared" si="5"/>
        <v>Combined2022May</v>
      </c>
      <c r="L340" s="2">
        <v>90.438790157037445</v>
      </c>
    </row>
    <row r="341" spans="1:12" x14ac:dyDescent="0.25">
      <c r="A341" s="1" t="s">
        <v>11</v>
      </c>
      <c r="B341" s="1">
        <v>2022</v>
      </c>
      <c r="C341" s="1" t="s">
        <v>18</v>
      </c>
      <c r="D341" s="1" t="s">
        <v>6</v>
      </c>
      <c r="E341" s="1">
        <v>90.656538527219766</v>
      </c>
      <c r="G341" t="s">
        <v>11</v>
      </c>
      <c r="H341">
        <v>2022</v>
      </c>
      <c r="I341" t="s">
        <v>18</v>
      </c>
      <c r="J341" t="s">
        <v>6</v>
      </c>
      <c r="K341" t="str">
        <f t="shared" si="5"/>
        <v>Rural2022June</v>
      </c>
      <c r="L341" s="2">
        <v>90.656538527219766</v>
      </c>
    </row>
    <row r="342" spans="1:12" x14ac:dyDescent="0.25">
      <c r="A342" s="1" t="s">
        <v>11</v>
      </c>
      <c r="B342" s="1">
        <v>2022</v>
      </c>
      <c r="C342" s="1" t="s">
        <v>18</v>
      </c>
      <c r="D342" s="1" t="s">
        <v>7</v>
      </c>
      <c r="E342" s="1">
        <v>91.193086788620278</v>
      </c>
      <c r="G342" t="s">
        <v>11</v>
      </c>
      <c r="H342">
        <v>2022</v>
      </c>
      <c r="I342" t="s">
        <v>18</v>
      </c>
      <c r="J342" t="s">
        <v>7</v>
      </c>
      <c r="K342" t="str">
        <f t="shared" si="5"/>
        <v>Urban2022June</v>
      </c>
      <c r="L342" s="2">
        <v>91.193086788620278</v>
      </c>
    </row>
    <row r="343" spans="1:12" x14ac:dyDescent="0.25">
      <c r="A343" s="1" t="s">
        <v>11</v>
      </c>
      <c r="B343" s="1">
        <v>2022</v>
      </c>
      <c r="C343" s="1" t="s">
        <v>18</v>
      </c>
      <c r="D343" s="1" t="s">
        <v>8</v>
      </c>
      <c r="E343" s="1">
        <v>90.912843221343408</v>
      </c>
      <c r="G343" t="s">
        <v>11</v>
      </c>
      <c r="H343">
        <v>2022</v>
      </c>
      <c r="I343" t="s">
        <v>18</v>
      </c>
      <c r="J343" t="s">
        <v>8</v>
      </c>
      <c r="K343" t="str">
        <f t="shared" si="5"/>
        <v>Combined2022June</v>
      </c>
      <c r="L343" s="2">
        <v>90.912843221343408</v>
      </c>
    </row>
    <row r="344" spans="1:12" x14ac:dyDescent="0.25">
      <c r="A344" s="1" t="s">
        <v>11</v>
      </c>
      <c r="B344" s="1">
        <v>2022</v>
      </c>
      <c r="C344" s="1" t="s">
        <v>19</v>
      </c>
      <c r="D344" s="1" t="s">
        <v>6</v>
      </c>
      <c r="E344" s="1">
        <v>91.022089085797276</v>
      </c>
      <c r="G344" t="s">
        <v>11</v>
      </c>
      <c r="H344">
        <v>2022</v>
      </c>
      <c r="I344" t="s">
        <v>19</v>
      </c>
      <c r="J344" t="s">
        <v>6</v>
      </c>
      <c r="K344" t="str">
        <f t="shared" si="5"/>
        <v>Rural2022July</v>
      </c>
      <c r="L344" s="2">
        <v>91.022089085797276</v>
      </c>
    </row>
    <row r="345" spans="1:12" x14ac:dyDescent="0.25">
      <c r="A345" s="1" t="s">
        <v>11</v>
      </c>
      <c r="B345" s="1">
        <v>2022</v>
      </c>
      <c r="C345" s="1" t="s">
        <v>19</v>
      </c>
      <c r="D345" s="1" t="s">
        <v>7</v>
      </c>
      <c r="E345" s="1">
        <v>91.671930301512688</v>
      </c>
      <c r="G345" t="s">
        <v>11</v>
      </c>
      <c r="H345">
        <v>2022</v>
      </c>
      <c r="I345" t="s">
        <v>19</v>
      </c>
      <c r="J345" t="s">
        <v>7</v>
      </c>
      <c r="K345" t="str">
        <f t="shared" si="5"/>
        <v>Urban2022July</v>
      </c>
      <c r="L345" s="2">
        <v>91.671930301512688</v>
      </c>
    </row>
    <row r="346" spans="1:12" x14ac:dyDescent="0.25">
      <c r="A346" s="1" t="s">
        <v>11</v>
      </c>
      <c r="B346" s="1">
        <v>2022</v>
      </c>
      <c r="C346" s="1" t="s">
        <v>19</v>
      </c>
      <c r="D346" s="1" t="s">
        <v>8</v>
      </c>
      <c r="E346" s="1">
        <v>91.334223722948707</v>
      </c>
      <c r="G346" t="s">
        <v>11</v>
      </c>
      <c r="H346">
        <v>2022</v>
      </c>
      <c r="I346" t="s">
        <v>19</v>
      </c>
      <c r="J346" t="s">
        <v>8</v>
      </c>
      <c r="K346" t="str">
        <f t="shared" si="5"/>
        <v>Combined2022July</v>
      </c>
      <c r="L346" s="2">
        <v>91.334223722948707</v>
      </c>
    </row>
    <row r="347" spans="1:12" x14ac:dyDescent="0.25">
      <c r="A347" s="1" t="s">
        <v>11</v>
      </c>
      <c r="B347" s="1">
        <v>2022</v>
      </c>
      <c r="C347" s="1" t="s">
        <v>20</v>
      </c>
      <c r="D347" s="1" t="s">
        <v>6</v>
      </c>
      <c r="E347" s="1">
        <v>91.544304169479418</v>
      </c>
      <c r="G347" t="s">
        <v>11</v>
      </c>
      <c r="H347">
        <v>2022</v>
      </c>
      <c r="I347" t="s">
        <v>20</v>
      </c>
      <c r="J347" t="s">
        <v>6</v>
      </c>
      <c r="K347" t="str">
        <f t="shared" si="5"/>
        <v>Rural2022August</v>
      </c>
      <c r="L347" s="2">
        <v>91.544304169479418</v>
      </c>
    </row>
    <row r="348" spans="1:12" x14ac:dyDescent="0.25">
      <c r="A348" s="1" t="s">
        <v>11</v>
      </c>
      <c r="B348" s="1">
        <v>2022</v>
      </c>
      <c r="C348" s="1" t="s">
        <v>20</v>
      </c>
      <c r="D348" s="1" t="s">
        <v>7</v>
      </c>
      <c r="E348" s="1">
        <v>92.097568979639249</v>
      </c>
      <c r="G348" t="s">
        <v>11</v>
      </c>
      <c r="H348">
        <v>2022</v>
      </c>
      <c r="I348" t="s">
        <v>20</v>
      </c>
      <c r="J348" t="s">
        <v>7</v>
      </c>
      <c r="K348" t="str">
        <f t="shared" si="5"/>
        <v>Urban2022August</v>
      </c>
      <c r="L348" s="2">
        <v>92.097568979639249</v>
      </c>
    </row>
    <row r="349" spans="1:12" x14ac:dyDescent="0.25">
      <c r="A349" s="1" t="s">
        <v>11</v>
      </c>
      <c r="B349" s="1">
        <v>2022</v>
      </c>
      <c r="C349" s="1" t="s">
        <v>20</v>
      </c>
      <c r="D349" s="1" t="s">
        <v>8</v>
      </c>
      <c r="E349" s="1">
        <v>91.808276787254684</v>
      </c>
      <c r="G349" t="s">
        <v>11</v>
      </c>
      <c r="H349">
        <v>2022</v>
      </c>
      <c r="I349" t="s">
        <v>20</v>
      </c>
      <c r="J349" t="s">
        <v>8</v>
      </c>
      <c r="K349" t="str">
        <f t="shared" si="5"/>
        <v>Combined2022August</v>
      </c>
      <c r="L349" s="2">
        <v>91.808276787254684</v>
      </c>
    </row>
    <row r="350" spans="1:12" x14ac:dyDescent="0.25">
      <c r="A350" s="1" t="s">
        <v>11</v>
      </c>
      <c r="B350" s="1">
        <v>2022</v>
      </c>
      <c r="C350" s="1" t="s">
        <v>21</v>
      </c>
      <c r="D350" s="1" t="s">
        <v>6</v>
      </c>
      <c r="E350" s="1">
        <v>92.118740761529764</v>
      </c>
      <c r="G350" t="s">
        <v>11</v>
      </c>
      <c r="H350">
        <v>2022</v>
      </c>
      <c r="I350" t="s">
        <v>21</v>
      </c>
      <c r="J350" t="s">
        <v>6</v>
      </c>
      <c r="K350" t="str">
        <f t="shared" si="5"/>
        <v>Rural2022September</v>
      </c>
      <c r="L350" s="2">
        <v>92.118740761529764</v>
      </c>
    </row>
    <row r="351" spans="1:12" x14ac:dyDescent="0.25">
      <c r="A351" s="1" t="s">
        <v>11</v>
      </c>
      <c r="B351" s="1">
        <v>2022</v>
      </c>
      <c r="C351" s="1" t="s">
        <v>21</v>
      </c>
      <c r="D351" s="1" t="s">
        <v>7</v>
      </c>
      <c r="E351" s="1">
        <v>92.629617327297481</v>
      </c>
      <c r="G351" t="s">
        <v>11</v>
      </c>
      <c r="H351">
        <v>2022</v>
      </c>
      <c r="I351" t="s">
        <v>21</v>
      </c>
      <c r="J351" t="s">
        <v>7</v>
      </c>
      <c r="K351" t="str">
        <f t="shared" si="5"/>
        <v>Urban2022September</v>
      </c>
      <c r="L351" s="2">
        <v>92.629617327297481</v>
      </c>
    </row>
    <row r="352" spans="1:12" x14ac:dyDescent="0.25">
      <c r="A352" s="1" t="s">
        <v>11</v>
      </c>
      <c r="B352" s="1">
        <v>2022</v>
      </c>
      <c r="C352" s="1" t="s">
        <v>21</v>
      </c>
      <c r="D352" s="1" t="s">
        <v>8</v>
      </c>
      <c r="E352" s="1">
        <v>92.335002414261297</v>
      </c>
      <c r="G352" t="s">
        <v>11</v>
      </c>
      <c r="H352">
        <v>2022</v>
      </c>
      <c r="I352" t="s">
        <v>21</v>
      </c>
      <c r="J352" t="s">
        <v>8</v>
      </c>
      <c r="K352" t="str">
        <f t="shared" si="5"/>
        <v>Combined2022September</v>
      </c>
      <c r="L352" s="2">
        <v>92.335002414261297</v>
      </c>
    </row>
    <row r="353" spans="1:12" x14ac:dyDescent="0.25">
      <c r="A353" s="1" t="s">
        <v>11</v>
      </c>
      <c r="B353" s="1">
        <v>2022</v>
      </c>
      <c r="C353" s="1" t="s">
        <v>22</v>
      </c>
      <c r="D353" s="1" t="s">
        <v>6</v>
      </c>
      <c r="E353" s="1">
        <v>92.902063387052976</v>
      </c>
      <c r="G353" t="s">
        <v>11</v>
      </c>
      <c r="H353">
        <v>2022</v>
      </c>
      <c r="I353" t="s">
        <v>22</v>
      </c>
      <c r="J353" t="s">
        <v>6</v>
      </c>
      <c r="K353" t="str">
        <f t="shared" si="5"/>
        <v>Rural2022October</v>
      </c>
      <c r="L353" s="2">
        <v>92.902063387052976</v>
      </c>
    </row>
    <row r="354" spans="1:12" x14ac:dyDescent="0.25">
      <c r="A354" s="1" t="s">
        <v>11</v>
      </c>
      <c r="B354" s="1">
        <v>2022</v>
      </c>
      <c r="C354" s="1" t="s">
        <v>22</v>
      </c>
      <c r="D354" s="1" t="s">
        <v>7</v>
      </c>
      <c r="E354" s="1">
        <v>93.268075344487372</v>
      </c>
      <c r="G354" t="s">
        <v>11</v>
      </c>
      <c r="H354">
        <v>2022</v>
      </c>
      <c r="I354" t="s">
        <v>22</v>
      </c>
      <c r="J354" t="s">
        <v>7</v>
      </c>
      <c r="K354" t="str">
        <f t="shared" si="5"/>
        <v>Urban2022October</v>
      </c>
      <c r="L354" s="2">
        <v>93.268075344487372</v>
      </c>
    </row>
    <row r="355" spans="1:12" x14ac:dyDescent="0.25">
      <c r="A355" s="1" t="s">
        <v>11</v>
      </c>
      <c r="B355" s="1">
        <v>2022</v>
      </c>
      <c r="C355" s="1" t="s">
        <v>22</v>
      </c>
      <c r="D355" s="1" t="s">
        <v>8</v>
      </c>
      <c r="E355" s="1">
        <v>93.072418292070566</v>
      </c>
      <c r="G355" t="s">
        <v>11</v>
      </c>
      <c r="H355">
        <v>2022</v>
      </c>
      <c r="I355" t="s">
        <v>22</v>
      </c>
      <c r="J355" t="s">
        <v>8</v>
      </c>
      <c r="K355" t="str">
        <f t="shared" si="5"/>
        <v>Combined2022October</v>
      </c>
      <c r="L355" s="2">
        <v>93.072418292070566</v>
      </c>
    </row>
    <row r="356" spans="1:12" x14ac:dyDescent="0.25">
      <c r="A356" s="1" t="s">
        <v>11</v>
      </c>
      <c r="B356" s="1">
        <v>2022</v>
      </c>
      <c r="C356" s="1" t="s">
        <v>23</v>
      </c>
      <c r="D356" s="1" t="s">
        <v>6</v>
      </c>
      <c r="E356" s="1">
        <v>92.849841878684771</v>
      </c>
      <c r="G356" t="s">
        <v>11</v>
      </c>
      <c r="H356">
        <v>2022</v>
      </c>
      <c r="I356" t="s">
        <v>23</v>
      </c>
      <c r="J356" t="s">
        <v>6</v>
      </c>
      <c r="K356" t="str">
        <f t="shared" si="5"/>
        <v>Rural2022November</v>
      </c>
      <c r="L356" s="2">
        <v>92.849841878684771</v>
      </c>
    </row>
    <row r="357" spans="1:12" x14ac:dyDescent="0.25">
      <c r="A357" s="1" t="s">
        <v>11</v>
      </c>
      <c r="B357" s="1">
        <v>2022</v>
      </c>
      <c r="C357" s="1" t="s">
        <v>23</v>
      </c>
      <c r="D357" s="1" t="s">
        <v>7</v>
      </c>
      <c r="E357" s="1">
        <v>93.108460840189892</v>
      </c>
      <c r="G357" t="s">
        <v>11</v>
      </c>
      <c r="H357">
        <v>2022</v>
      </c>
      <c r="I357" t="s">
        <v>23</v>
      </c>
      <c r="J357" t="s">
        <v>7</v>
      </c>
      <c r="K357" t="str">
        <f t="shared" si="5"/>
        <v>Urban2022November</v>
      </c>
      <c r="L357" s="2">
        <v>93.108460840189892</v>
      </c>
    </row>
    <row r="358" spans="1:12" x14ac:dyDescent="0.25">
      <c r="A358" s="1" t="s">
        <v>11</v>
      </c>
      <c r="B358" s="1">
        <v>2022</v>
      </c>
      <c r="C358" s="1" t="s">
        <v>23</v>
      </c>
      <c r="D358" s="1" t="s">
        <v>8</v>
      </c>
      <c r="E358" s="1">
        <v>92.967073166669252</v>
      </c>
      <c r="G358" t="s">
        <v>11</v>
      </c>
      <c r="H358">
        <v>2022</v>
      </c>
      <c r="I358" t="s">
        <v>23</v>
      </c>
      <c r="J358" t="s">
        <v>8</v>
      </c>
      <c r="K358" t="str">
        <f t="shared" si="5"/>
        <v>Combined2022November</v>
      </c>
      <c r="L358" s="2">
        <v>92.967073166669252</v>
      </c>
    </row>
    <row r="359" spans="1:12" x14ac:dyDescent="0.25">
      <c r="A359" s="1" t="s">
        <v>11</v>
      </c>
      <c r="B359" s="1">
        <v>2022</v>
      </c>
      <c r="C359" s="1" t="s">
        <v>24</v>
      </c>
      <c r="D359" s="1" t="s">
        <v>6</v>
      </c>
      <c r="E359" s="1">
        <v>92.484291320107261</v>
      </c>
      <c r="G359" t="s">
        <v>11</v>
      </c>
      <c r="H359">
        <v>2022</v>
      </c>
      <c r="I359" t="s">
        <v>24</v>
      </c>
      <c r="J359" t="s">
        <v>6</v>
      </c>
      <c r="K359" t="str">
        <f t="shared" si="5"/>
        <v>Rural2022December</v>
      </c>
      <c r="L359" s="2">
        <v>92.484291320107261</v>
      </c>
    </row>
    <row r="360" spans="1:12" x14ac:dyDescent="0.25">
      <c r="A360" s="1" t="s">
        <v>11</v>
      </c>
      <c r="B360" s="1">
        <v>2022</v>
      </c>
      <c r="C360" s="1" t="s">
        <v>24</v>
      </c>
      <c r="D360" s="1" t="s">
        <v>7</v>
      </c>
      <c r="E360" s="1">
        <v>92.629617327297481</v>
      </c>
      <c r="G360" t="s">
        <v>11</v>
      </c>
      <c r="H360">
        <v>2022</v>
      </c>
      <c r="I360" t="s">
        <v>24</v>
      </c>
      <c r="J360" t="s">
        <v>7</v>
      </c>
      <c r="K360" t="str">
        <f t="shared" si="5"/>
        <v>Urban2022December</v>
      </c>
      <c r="L360" s="2">
        <v>92.629617327297481</v>
      </c>
    </row>
    <row r="361" spans="1:12" x14ac:dyDescent="0.25">
      <c r="A361" s="1" t="s">
        <v>11</v>
      </c>
      <c r="B361" s="1">
        <v>2022</v>
      </c>
      <c r="C361" s="1" t="s">
        <v>24</v>
      </c>
      <c r="D361" s="1" t="s">
        <v>8</v>
      </c>
      <c r="E361" s="1">
        <v>92.545692665063939</v>
      </c>
      <c r="G361" t="s">
        <v>11</v>
      </c>
      <c r="H361">
        <v>2022</v>
      </c>
      <c r="I361" t="s">
        <v>24</v>
      </c>
      <c r="J361" t="s">
        <v>8</v>
      </c>
      <c r="K361" t="str">
        <f t="shared" si="5"/>
        <v>Combined2022December</v>
      </c>
      <c r="L361" s="2">
        <v>92.545692665063939</v>
      </c>
    </row>
    <row r="362" spans="1:12" x14ac:dyDescent="0.25">
      <c r="A362" s="1" t="s">
        <v>11</v>
      </c>
      <c r="B362" s="1">
        <v>2023</v>
      </c>
      <c r="C362" s="1" t="s">
        <v>10</v>
      </c>
      <c r="D362" s="1" t="s">
        <v>6</v>
      </c>
      <c r="E362" s="1">
        <v>92.849841878684771</v>
      </c>
      <c r="G362" t="s">
        <v>11</v>
      </c>
      <c r="H362">
        <v>2023</v>
      </c>
      <c r="I362" t="s">
        <v>10</v>
      </c>
      <c r="J362" t="s">
        <v>6</v>
      </c>
      <c r="K362" t="str">
        <f t="shared" si="5"/>
        <v>Rural2023January</v>
      </c>
      <c r="L362" s="2">
        <v>92.849841878684771</v>
      </c>
    </row>
    <row r="363" spans="1:12" x14ac:dyDescent="0.25">
      <c r="A363" s="1" t="s">
        <v>11</v>
      </c>
      <c r="B363" s="1">
        <v>2023</v>
      </c>
      <c r="C363" s="1" t="s">
        <v>10</v>
      </c>
      <c r="D363" s="1" t="s">
        <v>7</v>
      </c>
      <c r="E363" s="1">
        <v>93.05525600542407</v>
      </c>
      <c r="G363" t="s">
        <v>11</v>
      </c>
      <c r="H363">
        <v>2023</v>
      </c>
      <c r="I363" t="s">
        <v>10</v>
      </c>
      <c r="J363" t="s">
        <v>7</v>
      </c>
      <c r="K363" t="str">
        <f t="shared" si="5"/>
        <v>Urban2023January</v>
      </c>
      <c r="L363" s="2">
        <v>93.05525600542407</v>
      </c>
    </row>
    <row r="364" spans="1:12" x14ac:dyDescent="0.25">
      <c r="A364" s="1" t="s">
        <v>11</v>
      </c>
      <c r="B364" s="1">
        <v>2023</v>
      </c>
      <c r="C364" s="1" t="s">
        <v>10</v>
      </c>
      <c r="D364" s="1" t="s">
        <v>8</v>
      </c>
      <c r="E364" s="1">
        <v>92.967073166669252</v>
      </c>
      <c r="G364" t="s">
        <v>11</v>
      </c>
      <c r="H364">
        <v>2023</v>
      </c>
      <c r="I364" t="s">
        <v>10</v>
      </c>
      <c r="J364" t="s">
        <v>8</v>
      </c>
      <c r="K364" t="str">
        <f t="shared" si="5"/>
        <v>Combined2023January</v>
      </c>
      <c r="L364" s="2">
        <v>92.967073166669252</v>
      </c>
    </row>
    <row r="365" spans="1:12" x14ac:dyDescent="0.25">
      <c r="A365" s="1" t="s">
        <v>11</v>
      </c>
      <c r="B365" s="1">
        <v>2023</v>
      </c>
      <c r="C365" s="1" t="s">
        <v>14</v>
      </c>
      <c r="D365" s="1" t="s">
        <v>6</v>
      </c>
      <c r="E365" s="1">
        <v>92.902063387052976</v>
      </c>
      <c r="G365" t="s">
        <v>11</v>
      </c>
      <c r="H365">
        <v>2023</v>
      </c>
      <c r="I365" t="s">
        <v>14</v>
      </c>
      <c r="J365" t="s">
        <v>6</v>
      </c>
      <c r="K365" t="str">
        <f t="shared" si="5"/>
        <v>Rural2023February</v>
      </c>
      <c r="L365" s="2">
        <v>92.902063387052976</v>
      </c>
    </row>
    <row r="366" spans="1:12" x14ac:dyDescent="0.25">
      <c r="A366" s="1" t="s">
        <v>11</v>
      </c>
      <c r="B366" s="1">
        <v>2023</v>
      </c>
      <c r="C366" s="1" t="s">
        <v>14</v>
      </c>
      <c r="D366" s="1" t="s">
        <v>7</v>
      </c>
      <c r="E366" s="1">
        <v>93.427689848784823</v>
      </c>
      <c r="G366" t="s">
        <v>11</v>
      </c>
      <c r="H366">
        <v>2023</v>
      </c>
      <c r="I366" t="s">
        <v>14</v>
      </c>
      <c r="J366" t="s">
        <v>7</v>
      </c>
      <c r="K366" t="str">
        <f t="shared" si="5"/>
        <v>Urban2023February</v>
      </c>
      <c r="L366" s="2">
        <v>93.427689848784823</v>
      </c>
    </row>
    <row r="367" spans="1:12" x14ac:dyDescent="0.25">
      <c r="A367" s="1" t="s">
        <v>11</v>
      </c>
      <c r="B367" s="1">
        <v>2023</v>
      </c>
      <c r="C367" s="1" t="s">
        <v>14</v>
      </c>
      <c r="D367" s="1" t="s">
        <v>8</v>
      </c>
      <c r="E367" s="1">
        <v>93.125090854771244</v>
      </c>
      <c r="G367" t="s">
        <v>11</v>
      </c>
      <c r="H367">
        <v>2023</v>
      </c>
      <c r="I367" t="s">
        <v>14</v>
      </c>
      <c r="J367" t="s">
        <v>8</v>
      </c>
      <c r="K367" t="str">
        <f t="shared" si="5"/>
        <v>Combined2023February</v>
      </c>
      <c r="L367" s="2">
        <v>93.125090854771244</v>
      </c>
    </row>
    <row r="368" spans="1:12" x14ac:dyDescent="0.25">
      <c r="A368" s="1" t="s">
        <v>11</v>
      </c>
      <c r="B368" s="1">
        <v>2023</v>
      </c>
      <c r="C368" s="1" t="s">
        <v>15</v>
      </c>
      <c r="D368" s="1" t="s">
        <v>6</v>
      </c>
      <c r="E368" s="1">
        <v>92.954284895421196</v>
      </c>
      <c r="G368" t="s">
        <v>11</v>
      </c>
      <c r="H368">
        <v>2023</v>
      </c>
      <c r="I368" t="s">
        <v>15</v>
      </c>
      <c r="J368" t="s">
        <v>6</v>
      </c>
      <c r="K368" t="str">
        <f t="shared" si="5"/>
        <v>Rural2023March</v>
      </c>
      <c r="L368" s="2">
        <v>92.954284895421196</v>
      </c>
    </row>
    <row r="369" spans="1:12" x14ac:dyDescent="0.25">
      <c r="A369" s="1" t="s">
        <v>11</v>
      </c>
      <c r="B369" s="1">
        <v>2023</v>
      </c>
      <c r="C369" s="1" t="s">
        <v>15</v>
      </c>
      <c r="D369" s="1" t="s">
        <v>7</v>
      </c>
      <c r="E369" s="1">
        <v>93.80012369214559</v>
      </c>
      <c r="G369" t="s">
        <v>11</v>
      </c>
      <c r="H369">
        <v>2023</v>
      </c>
      <c r="I369" t="s">
        <v>15</v>
      </c>
      <c r="J369" t="s">
        <v>7</v>
      </c>
      <c r="K369" t="str">
        <f t="shared" si="5"/>
        <v>Urban2023March</v>
      </c>
      <c r="L369" s="2">
        <v>93.80012369214559</v>
      </c>
    </row>
    <row r="370" spans="1:12" x14ac:dyDescent="0.25">
      <c r="A370" s="1" t="s">
        <v>11</v>
      </c>
      <c r="B370" s="1">
        <v>2023</v>
      </c>
      <c r="C370" s="1" t="s">
        <v>15</v>
      </c>
      <c r="D370" s="1" t="s">
        <v>8</v>
      </c>
      <c r="E370" s="1">
        <v>93.335781105573872</v>
      </c>
      <c r="G370" t="s">
        <v>11</v>
      </c>
      <c r="H370">
        <v>2023</v>
      </c>
      <c r="I370" t="s">
        <v>15</v>
      </c>
      <c r="J370" t="s">
        <v>8</v>
      </c>
      <c r="K370" t="str">
        <f t="shared" si="5"/>
        <v>Combined2023March</v>
      </c>
      <c r="L370" s="2">
        <v>93.335781105573872</v>
      </c>
    </row>
    <row r="371" spans="1:12" x14ac:dyDescent="0.25">
      <c r="A371" s="1" t="s">
        <v>11</v>
      </c>
      <c r="B371" s="1">
        <v>2023</v>
      </c>
      <c r="C371" s="1" t="s">
        <v>16</v>
      </c>
      <c r="D371" s="1" t="s">
        <v>6</v>
      </c>
      <c r="E371" s="1">
        <v>93.372056962366912</v>
      </c>
      <c r="G371" t="s">
        <v>11</v>
      </c>
      <c r="H371">
        <v>2023</v>
      </c>
      <c r="I371" t="s">
        <v>16</v>
      </c>
      <c r="J371" t="s">
        <v>6</v>
      </c>
      <c r="K371" t="str">
        <f t="shared" si="5"/>
        <v>Rural2023April</v>
      </c>
      <c r="L371" s="2">
        <v>93.372056962366912</v>
      </c>
    </row>
    <row r="372" spans="1:12" x14ac:dyDescent="0.25">
      <c r="A372" s="1" t="s">
        <v>11</v>
      </c>
      <c r="B372" s="1">
        <v>2023</v>
      </c>
      <c r="C372" s="1" t="s">
        <v>16</v>
      </c>
      <c r="D372" s="1" t="s">
        <v>7</v>
      </c>
      <c r="E372" s="1">
        <v>94.385376874569644</v>
      </c>
      <c r="G372" t="s">
        <v>11</v>
      </c>
      <c r="H372">
        <v>2023</v>
      </c>
      <c r="I372" t="s">
        <v>16</v>
      </c>
      <c r="J372" t="s">
        <v>7</v>
      </c>
      <c r="K372" t="str">
        <f t="shared" si="5"/>
        <v>Urban2023April</v>
      </c>
      <c r="L372" s="2">
        <v>94.385376874569644</v>
      </c>
    </row>
    <row r="373" spans="1:12" x14ac:dyDescent="0.25">
      <c r="A373" s="1" t="s">
        <v>11</v>
      </c>
      <c r="B373" s="1">
        <v>2023</v>
      </c>
      <c r="C373" s="1" t="s">
        <v>16</v>
      </c>
      <c r="D373" s="1" t="s">
        <v>8</v>
      </c>
      <c r="E373" s="1">
        <v>93.809834169879835</v>
      </c>
      <c r="G373" t="s">
        <v>11</v>
      </c>
      <c r="H373">
        <v>2023</v>
      </c>
      <c r="I373" t="s">
        <v>16</v>
      </c>
      <c r="J373" t="s">
        <v>8</v>
      </c>
      <c r="K373" t="str">
        <f t="shared" si="5"/>
        <v>Combined2023April</v>
      </c>
      <c r="L373" s="2">
        <v>93.809834169879835</v>
      </c>
    </row>
    <row r="374" spans="1:12" x14ac:dyDescent="0.25">
      <c r="A374" s="1" t="s">
        <v>11</v>
      </c>
      <c r="B374" s="1">
        <v>2023</v>
      </c>
      <c r="C374" s="1" t="s">
        <v>17</v>
      </c>
      <c r="D374" s="1" t="s">
        <v>6</v>
      </c>
      <c r="E374" s="1">
        <v>93.894272046049053</v>
      </c>
      <c r="G374" t="s">
        <v>11</v>
      </c>
      <c r="H374">
        <v>2023</v>
      </c>
      <c r="I374" t="s">
        <v>17</v>
      </c>
      <c r="J374" t="s">
        <v>6</v>
      </c>
      <c r="K374" t="str">
        <f t="shared" si="5"/>
        <v>Rural2023May</v>
      </c>
      <c r="L374" s="2">
        <v>93.894272046049053</v>
      </c>
    </row>
    <row r="375" spans="1:12" x14ac:dyDescent="0.25">
      <c r="A375" s="1" t="s">
        <v>11</v>
      </c>
      <c r="B375" s="1">
        <v>2023</v>
      </c>
      <c r="C375" s="1" t="s">
        <v>17</v>
      </c>
      <c r="D375" s="1" t="s">
        <v>7</v>
      </c>
      <c r="E375" s="1">
        <v>94.811015552696219</v>
      </c>
      <c r="G375" t="s">
        <v>11</v>
      </c>
      <c r="H375">
        <v>2023</v>
      </c>
      <c r="I375" t="s">
        <v>17</v>
      </c>
      <c r="J375" t="s">
        <v>7</v>
      </c>
      <c r="K375" t="str">
        <f t="shared" si="5"/>
        <v>Urban2023May</v>
      </c>
      <c r="L375" s="2">
        <v>94.811015552696219</v>
      </c>
    </row>
    <row r="376" spans="1:12" x14ac:dyDescent="0.25">
      <c r="A376" s="1" t="s">
        <v>11</v>
      </c>
      <c r="B376" s="1">
        <v>2023</v>
      </c>
      <c r="C376" s="1" t="s">
        <v>17</v>
      </c>
      <c r="D376" s="1" t="s">
        <v>8</v>
      </c>
      <c r="E376" s="1">
        <v>94.336559796886462</v>
      </c>
      <c r="G376" t="s">
        <v>11</v>
      </c>
      <c r="H376">
        <v>2023</v>
      </c>
      <c r="I376" t="s">
        <v>17</v>
      </c>
      <c r="J376" t="s">
        <v>8</v>
      </c>
      <c r="K376" t="str">
        <f t="shared" si="5"/>
        <v>Combined2023May</v>
      </c>
      <c r="L376" s="2">
        <v>94.336559796886462</v>
      </c>
    </row>
    <row r="377" spans="1:12" x14ac:dyDescent="0.25">
      <c r="A377" s="1" t="s">
        <v>11</v>
      </c>
      <c r="B377" s="1">
        <v>2023</v>
      </c>
      <c r="C377" s="1" t="s">
        <v>18</v>
      </c>
      <c r="D377" s="1" t="s">
        <v>6</v>
      </c>
      <c r="E377" s="1">
        <v>94.990923721781542</v>
      </c>
      <c r="G377" t="s">
        <v>11</v>
      </c>
      <c r="H377">
        <v>2023</v>
      </c>
      <c r="I377" t="s">
        <v>18</v>
      </c>
      <c r="J377" t="s">
        <v>6</v>
      </c>
      <c r="K377" t="str">
        <f t="shared" si="5"/>
        <v>Rural2023June</v>
      </c>
      <c r="L377" s="2">
        <v>94.990923721781542</v>
      </c>
    </row>
    <row r="378" spans="1:12" x14ac:dyDescent="0.25">
      <c r="A378" s="1" t="s">
        <v>11</v>
      </c>
      <c r="B378" s="1">
        <v>2023</v>
      </c>
      <c r="C378" s="1" t="s">
        <v>18</v>
      </c>
      <c r="D378" s="1" t="s">
        <v>7</v>
      </c>
      <c r="E378" s="1">
        <v>95.715497743715204</v>
      </c>
      <c r="G378" t="s">
        <v>11</v>
      </c>
      <c r="H378">
        <v>2023</v>
      </c>
      <c r="I378" t="s">
        <v>18</v>
      </c>
      <c r="J378" t="s">
        <v>7</v>
      </c>
      <c r="K378" t="str">
        <f t="shared" si="5"/>
        <v>Urban2023June</v>
      </c>
      <c r="L378" s="2">
        <v>95.715497743715204</v>
      </c>
    </row>
    <row r="379" spans="1:12" x14ac:dyDescent="0.25">
      <c r="A379" s="1" t="s">
        <v>11</v>
      </c>
      <c r="B379" s="1">
        <v>2023</v>
      </c>
      <c r="C379" s="1" t="s">
        <v>18</v>
      </c>
      <c r="D379" s="1" t="s">
        <v>8</v>
      </c>
      <c r="E379" s="1">
        <v>95.337338488199052</v>
      </c>
      <c r="G379" t="s">
        <v>11</v>
      </c>
      <c r="H379">
        <v>2023</v>
      </c>
      <c r="I379" t="s">
        <v>18</v>
      </c>
      <c r="J379" t="s">
        <v>8</v>
      </c>
      <c r="K379" t="str">
        <f t="shared" si="5"/>
        <v>Combined2023June</v>
      </c>
      <c r="L379" s="2">
        <v>95.337338488199052</v>
      </c>
    </row>
    <row r="380" spans="1:12" x14ac:dyDescent="0.25">
      <c r="A380" s="1" t="s">
        <v>11</v>
      </c>
      <c r="B380" s="1">
        <v>2023</v>
      </c>
      <c r="C380" s="1" t="s">
        <v>19</v>
      </c>
      <c r="D380" s="1" t="s">
        <v>6</v>
      </c>
      <c r="E380" s="1">
        <v>97.967549698769744</v>
      </c>
      <c r="G380" t="s">
        <v>11</v>
      </c>
      <c r="H380">
        <v>2023</v>
      </c>
      <c r="I380" t="s">
        <v>19</v>
      </c>
      <c r="J380" t="s">
        <v>6</v>
      </c>
      <c r="K380" t="str">
        <f t="shared" si="5"/>
        <v>Rural2023July</v>
      </c>
      <c r="L380" s="2">
        <v>97.967549698769744</v>
      </c>
    </row>
    <row r="381" spans="1:12" x14ac:dyDescent="0.25">
      <c r="A381" s="1" t="s">
        <v>11</v>
      </c>
      <c r="B381" s="1">
        <v>2023</v>
      </c>
      <c r="C381" s="1" t="s">
        <v>19</v>
      </c>
      <c r="D381" s="1" t="s">
        <v>7</v>
      </c>
      <c r="E381" s="1">
        <v>98.269329812474695</v>
      </c>
      <c r="G381" t="s">
        <v>11</v>
      </c>
      <c r="H381">
        <v>2023</v>
      </c>
      <c r="I381" t="s">
        <v>19</v>
      </c>
      <c r="J381" t="s">
        <v>7</v>
      </c>
      <c r="K381" t="str">
        <f t="shared" si="5"/>
        <v>Urban2023July</v>
      </c>
      <c r="L381" s="2">
        <v>98.269329812474695</v>
      </c>
    </row>
    <row r="382" spans="1:12" x14ac:dyDescent="0.25">
      <c r="A382" s="1" t="s">
        <v>11</v>
      </c>
      <c r="B382" s="1">
        <v>2023</v>
      </c>
      <c r="C382" s="1" t="s">
        <v>19</v>
      </c>
      <c r="D382" s="1" t="s">
        <v>8</v>
      </c>
      <c r="E382" s="1">
        <v>98.128984311334179</v>
      </c>
      <c r="G382" t="s">
        <v>11</v>
      </c>
      <c r="H382">
        <v>2023</v>
      </c>
      <c r="I382" t="s">
        <v>19</v>
      </c>
      <c r="J382" t="s">
        <v>8</v>
      </c>
      <c r="K382" t="str">
        <f t="shared" si="5"/>
        <v>Combined2023July</v>
      </c>
      <c r="L382" s="2">
        <v>98.128984311334179</v>
      </c>
    </row>
    <row r="383" spans="1:12" x14ac:dyDescent="0.25">
      <c r="A383" s="1" t="s">
        <v>11</v>
      </c>
      <c r="B383" s="1">
        <v>2023</v>
      </c>
      <c r="C383" s="1" t="s">
        <v>20</v>
      </c>
      <c r="D383" s="1" t="s">
        <v>6</v>
      </c>
      <c r="E383" s="1">
        <v>97.967549698769744</v>
      </c>
      <c r="G383" t="s">
        <v>11</v>
      </c>
      <c r="H383">
        <v>2023</v>
      </c>
      <c r="I383" t="s">
        <v>20</v>
      </c>
      <c r="J383" t="s">
        <v>6</v>
      </c>
      <c r="K383" t="str">
        <f t="shared" si="5"/>
        <v>Rural2023August</v>
      </c>
      <c r="L383" s="2">
        <v>97.967549698769744</v>
      </c>
    </row>
    <row r="384" spans="1:12" x14ac:dyDescent="0.25">
      <c r="A384" s="1" t="s">
        <v>11</v>
      </c>
      <c r="B384" s="1">
        <v>2023</v>
      </c>
      <c r="C384" s="1" t="s">
        <v>20</v>
      </c>
      <c r="D384" s="1" t="s">
        <v>7</v>
      </c>
      <c r="E384" s="1">
        <v>98.162920142943051</v>
      </c>
      <c r="G384" t="s">
        <v>11</v>
      </c>
      <c r="H384">
        <v>2023</v>
      </c>
      <c r="I384" t="s">
        <v>20</v>
      </c>
      <c r="J384" t="s">
        <v>7</v>
      </c>
      <c r="K384" t="str">
        <f t="shared" si="5"/>
        <v>Urban2023August</v>
      </c>
      <c r="L384" s="2">
        <v>98.162920142943051</v>
      </c>
    </row>
    <row r="385" spans="1:12" x14ac:dyDescent="0.25">
      <c r="A385" s="1" t="s">
        <v>11</v>
      </c>
      <c r="B385" s="1">
        <v>2023</v>
      </c>
      <c r="C385" s="1" t="s">
        <v>20</v>
      </c>
      <c r="D385" s="1" t="s">
        <v>8</v>
      </c>
      <c r="E385" s="1">
        <v>98.076311748633501</v>
      </c>
      <c r="G385" t="s">
        <v>11</v>
      </c>
      <c r="H385">
        <v>2023</v>
      </c>
      <c r="I385" t="s">
        <v>20</v>
      </c>
      <c r="J385" t="s">
        <v>8</v>
      </c>
      <c r="K385" t="str">
        <f t="shared" si="5"/>
        <v>Combined2023August</v>
      </c>
      <c r="L385" s="2">
        <v>98.076311748633501</v>
      </c>
    </row>
    <row r="386" spans="1:12" x14ac:dyDescent="0.25">
      <c r="A386" s="1" t="s">
        <v>11</v>
      </c>
      <c r="B386" s="1">
        <v>2023</v>
      </c>
      <c r="C386" s="1" t="s">
        <v>21</v>
      </c>
      <c r="D386" s="1" t="s">
        <v>6</v>
      </c>
      <c r="E386" s="1">
        <v>97.027562548141901</v>
      </c>
      <c r="G386" t="s">
        <v>11</v>
      </c>
      <c r="H386">
        <v>2023</v>
      </c>
      <c r="I386" t="s">
        <v>21</v>
      </c>
      <c r="J386" t="s">
        <v>6</v>
      </c>
      <c r="K386" t="str">
        <f t="shared" si="5"/>
        <v>Rural2023September</v>
      </c>
      <c r="L386" s="2">
        <v>97.027562548141901</v>
      </c>
    </row>
    <row r="387" spans="1:12" x14ac:dyDescent="0.25">
      <c r="A387" s="1" t="s">
        <v>11</v>
      </c>
      <c r="B387" s="1">
        <v>2023</v>
      </c>
      <c r="C387" s="1" t="s">
        <v>21</v>
      </c>
      <c r="D387" s="1" t="s">
        <v>7</v>
      </c>
      <c r="E387" s="1">
        <v>96.93920894332912</v>
      </c>
      <c r="G387" t="s">
        <v>11</v>
      </c>
      <c r="H387">
        <v>2023</v>
      </c>
      <c r="I387" t="s">
        <v>21</v>
      </c>
      <c r="J387" t="s">
        <v>7</v>
      </c>
      <c r="K387" t="str">
        <f t="shared" ref="K387:K450" si="6">CONCATENATE(J387,H387,I387)</f>
        <v>Urban2023September</v>
      </c>
      <c r="L387" s="2">
        <v>96.93920894332912</v>
      </c>
    </row>
    <row r="388" spans="1:12" x14ac:dyDescent="0.25">
      <c r="A388" s="1" t="s">
        <v>11</v>
      </c>
      <c r="B388" s="1">
        <v>2023</v>
      </c>
      <c r="C388" s="1" t="s">
        <v>21</v>
      </c>
      <c r="D388" s="1" t="s">
        <v>8</v>
      </c>
      <c r="E388" s="1">
        <v>96.970187931919583</v>
      </c>
      <c r="G388" t="s">
        <v>11</v>
      </c>
      <c r="H388">
        <v>2023</v>
      </c>
      <c r="I388" t="s">
        <v>21</v>
      </c>
      <c r="J388" t="s">
        <v>8</v>
      </c>
      <c r="K388" t="str">
        <f t="shared" si="6"/>
        <v>Combined2023September</v>
      </c>
      <c r="L388" s="2">
        <v>96.970187931919583</v>
      </c>
    </row>
    <row r="389" spans="1:12" x14ac:dyDescent="0.25">
      <c r="A389" s="1" t="s">
        <v>11</v>
      </c>
      <c r="B389" s="1">
        <v>2023</v>
      </c>
      <c r="C389" s="1" t="s">
        <v>22</v>
      </c>
      <c r="D389" s="1" t="s">
        <v>6</v>
      </c>
      <c r="E389" s="1">
        <v>97.654220648560468</v>
      </c>
      <c r="G389" t="s">
        <v>11</v>
      </c>
      <c r="H389">
        <v>2023</v>
      </c>
      <c r="I389" t="s">
        <v>22</v>
      </c>
      <c r="J389" t="s">
        <v>6</v>
      </c>
      <c r="K389" t="str">
        <f t="shared" si="6"/>
        <v>Rural2023October</v>
      </c>
      <c r="L389" s="2">
        <v>97.654220648560468</v>
      </c>
    </row>
    <row r="390" spans="1:12" x14ac:dyDescent="0.25">
      <c r="A390" s="1" t="s">
        <v>11</v>
      </c>
      <c r="B390" s="1">
        <v>2023</v>
      </c>
      <c r="C390" s="1" t="s">
        <v>22</v>
      </c>
      <c r="D390" s="1" t="s">
        <v>7</v>
      </c>
      <c r="E390" s="1">
        <v>97.577666960519011</v>
      </c>
      <c r="G390" t="s">
        <v>11</v>
      </c>
      <c r="H390">
        <v>2023</v>
      </c>
      <c r="I390" t="s">
        <v>22</v>
      </c>
      <c r="J390" t="s">
        <v>7</v>
      </c>
      <c r="K390" t="str">
        <f t="shared" si="6"/>
        <v>Urban2023October</v>
      </c>
      <c r="L390" s="2">
        <v>97.577666960519011</v>
      </c>
    </row>
    <row r="391" spans="1:12" x14ac:dyDescent="0.25">
      <c r="A391" s="1" t="s">
        <v>11</v>
      </c>
      <c r="B391" s="1">
        <v>2023</v>
      </c>
      <c r="C391" s="1" t="s">
        <v>22</v>
      </c>
      <c r="D391" s="1" t="s">
        <v>8</v>
      </c>
      <c r="E391" s="1">
        <v>97.602258684327552</v>
      </c>
      <c r="G391" t="s">
        <v>11</v>
      </c>
      <c r="H391">
        <v>2023</v>
      </c>
      <c r="I391" t="s">
        <v>22</v>
      </c>
      <c r="J391" t="s">
        <v>8</v>
      </c>
      <c r="K391" t="str">
        <f t="shared" si="6"/>
        <v>Combined2023October</v>
      </c>
      <c r="L391" s="2">
        <v>97.602258684327552</v>
      </c>
    </row>
    <row r="392" spans="1:12" x14ac:dyDescent="0.25">
      <c r="A392" s="1" t="s">
        <v>11</v>
      </c>
      <c r="B392" s="1">
        <v>2023</v>
      </c>
      <c r="C392" s="1" t="s">
        <v>23</v>
      </c>
      <c r="D392" s="1" t="s">
        <v>6</v>
      </c>
      <c r="E392" s="1">
        <v>98.280878748979035</v>
      </c>
      <c r="G392" t="s">
        <v>11</v>
      </c>
      <c r="H392">
        <v>2023</v>
      </c>
      <c r="I392" t="s">
        <v>23</v>
      </c>
      <c r="J392" t="s">
        <v>6</v>
      </c>
      <c r="K392" t="str">
        <f t="shared" si="6"/>
        <v>Rural2023November</v>
      </c>
      <c r="L392" s="2">
        <v>98.280878748979035</v>
      </c>
    </row>
    <row r="393" spans="1:12" x14ac:dyDescent="0.25">
      <c r="A393" s="1" t="s">
        <v>11</v>
      </c>
      <c r="B393" s="1">
        <v>2023</v>
      </c>
      <c r="C393" s="1" t="s">
        <v>23</v>
      </c>
      <c r="D393" s="1" t="s">
        <v>7</v>
      </c>
      <c r="E393" s="1">
        <v>98.003305638645585</v>
      </c>
      <c r="G393" t="s">
        <v>11</v>
      </c>
      <c r="H393">
        <v>2023</v>
      </c>
      <c r="I393" t="s">
        <v>23</v>
      </c>
      <c r="J393" t="s">
        <v>7</v>
      </c>
      <c r="K393" t="str">
        <f t="shared" si="6"/>
        <v>Urban2023November</v>
      </c>
      <c r="L393" s="2">
        <v>98.003305638645585</v>
      </c>
    </row>
    <row r="394" spans="1:12" x14ac:dyDescent="0.25">
      <c r="A394" s="1" t="s">
        <v>11</v>
      </c>
      <c r="B394" s="1">
        <v>2023</v>
      </c>
      <c r="C394" s="1" t="s">
        <v>23</v>
      </c>
      <c r="D394" s="1" t="s">
        <v>8</v>
      </c>
      <c r="E394" s="1">
        <v>98.128984311334179</v>
      </c>
      <c r="G394" t="s">
        <v>11</v>
      </c>
      <c r="H394">
        <v>2023</v>
      </c>
      <c r="I394" t="s">
        <v>23</v>
      </c>
      <c r="J394" t="s">
        <v>8</v>
      </c>
      <c r="K394" t="str">
        <f t="shared" si="6"/>
        <v>Combined2023November</v>
      </c>
      <c r="L394" s="2">
        <v>98.128984311334179</v>
      </c>
    </row>
    <row r="395" spans="1:12" x14ac:dyDescent="0.25">
      <c r="A395" s="1" t="s">
        <v>11</v>
      </c>
      <c r="B395" s="1">
        <v>2023</v>
      </c>
      <c r="C395" s="1" t="s">
        <v>24</v>
      </c>
      <c r="D395" s="1" t="s">
        <v>6</v>
      </c>
      <c r="E395" s="1">
        <v>97.967549698769744</v>
      </c>
      <c r="G395" t="s">
        <v>11</v>
      </c>
      <c r="H395">
        <v>2023</v>
      </c>
      <c r="I395" t="s">
        <v>24</v>
      </c>
      <c r="J395" t="s">
        <v>6</v>
      </c>
      <c r="K395" t="str">
        <f t="shared" si="6"/>
        <v>Rural2023December</v>
      </c>
      <c r="L395" s="2">
        <v>97.967549698769744</v>
      </c>
    </row>
    <row r="396" spans="1:12" x14ac:dyDescent="0.25">
      <c r="A396" s="1" t="s">
        <v>11</v>
      </c>
      <c r="B396" s="1">
        <v>2023</v>
      </c>
      <c r="C396" s="1" t="s">
        <v>24</v>
      </c>
      <c r="D396" s="1" t="s">
        <v>7</v>
      </c>
      <c r="E396" s="1">
        <v>97.684076630050654</v>
      </c>
      <c r="G396" t="s">
        <v>11</v>
      </c>
      <c r="H396">
        <v>2023</v>
      </c>
      <c r="I396" t="s">
        <v>24</v>
      </c>
      <c r="J396" t="s">
        <v>7</v>
      </c>
      <c r="K396" t="str">
        <f t="shared" si="6"/>
        <v>Urban2023December</v>
      </c>
      <c r="L396" s="2">
        <v>97.684076630050654</v>
      </c>
    </row>
    <row r="397" spans="1:12" x14ac:dyDescent="0.25">
      <c r="A397" s="1" t="s">
        <v>11</v>
      </c>
      <c r="B397" s="1">
        <v>2023</v>
      </c>
      <c r="C397" s="1" t="s">
        <v>24</v>
      </c>
      <c r="D397" s="1" t="s">
        <v>8</v>
      </c>
      <c r="E397" s="1">
        <v>97.81294893513018</v>
      </c>
      <c r="G397" t="s">
        <v>11</v>
      </c>
      <c r="H397">
        <v>2023</v>
      </c>
      <c r="I397" t="s">
        <v>24</v>
      </c>
      <c r="J397" t="s">
        <v>8</v>
      </c>
      <c r="K397" t="str">
        <f t="shared" si="6"/>
        <v>Combined2023December</v>
      </c>
      <c r="L397" s="2">
        <v>97.81294893513018</v>
      </c>
    </row>
    <row r="398" spans="1:12" x14ac:dyDescent="0.25">
      <c r="A398" s="1" t="s">
        <v>11</v>
      </c>
      <c r="B398" s="1">
        <v>2024</v>
      </c>
      <c r="C398" s="1" t="s">
        <v>10</v>
      </c>
      <c r="D398" s="1" t="s">
        <v>6</v>
      </c>
      <c r="E398" s="1">
        <v>97.810885173665113</v>
      </c>
      <c r="G398" t="s">
        <v>11</v>
      </c>
      <c r="H398">
        <v>2024</v>
      </c>
      <c r="I398" t="s">
        <v>10</v>
      </c>
      <c r="J398" t="s">
        <v>6</v>
      </c>
      <c r="K398" t="str">
        <f t="shared" si="6"/>
        <v>Rural2024January</v>
      </c>
      <c r="L398" s="2">
        <v>97.810885173665113</v>
      </c>
    </row>
    <row r="399" spans="1:12" x14ac:dyDescent="0.25">
      <c r="A399" s="1" t="s">
        <v>11</v>
      </c>
      <c r="B399" s="1">
        <v>2024</v>
      </c>
      <c r="C399" s="1" t="s">
        <v>10</v>
      </c>
      <c r="D399" s="1" t="s">
        <v>7</v>
      </c>
      <c r="E399" s="1">
        <v>97.630871795284833</v>
      </c>
      <c r="G399" t="s">
        <v>11</v>
      </c>
      <c r="H399">
        <v>2024</v>
      </c>
      <c r="I399" t="s">
        <v>10</v>
      </c>
      <c r="J399" t="s">
        <v>7</v>
      </c>
      <c r="K399" t="str">
        <f t="shared" si="6"/>
        <v>Urban2024January</v>
      </c>
      <c r="L399" s="2">
        <v>97.630871795284833</v>
      </c>
    </row>
    <row r="400" spans="1:12" x14ac:dyDescent="0.25">
      <c r="A400" s="1" t="s">
        <v>11</v>
      </c>
      <c r="B400" s="1">
        <v>2024</v>
      </c>
      <c r="C400" s="1" t="s">
        <v>10</v>
      </c>
      <c r="D400" s="1" t="s">
        <v>8</v>
      </c>
      <c r="E400" s="1">
        <v>97.707603809728866</v>
      </c>
      <c r="G400" t="s">
        <v>11</v>
      </c>
      <c r="H400">
        <v>2024</v>
      </c>
      <c r="I400" t="s">
        <v>10</v>
      </c>
      <c r="J400" t="s">
        <v>8</v>
      </c>
      <c r="K400" t="str">
        <f t="shared" si="6"/>
        <v>Combined2024January</v>
      </c>
      <c r="L400" s="2">
        <v>97.707603809728866</v>
      </c>
    </row>
    <row r="401" spans="1:12" x14ac:dyDescent="0.25">
      <c r="A401" s="1" t="s">
        <v>11</v>
      </c>
      <c r="B401" s="1">
        <v>2024</v>
      </c>
      <c r="C401" s="1" t="s">
        <v>14</v>
      </c>
      <c r="D401" s="1" t="s">
        <v>6</v>
      </c>
      <c r="E401" s="1">
        <v>97.863106682033333</v>
      </c>
      <c r="G401" t="s">
        <v>11</v>
      </c>
      <c r="H401">
        <v>2024</v>
      </c>
      <c r="I401" t="s">
        <v>14</v>
      </c>
      <c r="J401" t="s">
        <v>6</v>
      </c>
      <c r="K401" t="str">
        <f t="shared" si="6"/>
        <v>Rural2024February</v>
      </c>
      <c r="L401" s="2">
        <v>97.863106682033333</v>
      </c>
    </row>
    <row r="402" spans="1:12" x14ac:dyDescent="0.25">
      <c r="A402" s="1" t="s">
        <v>11</v>
      </c>
      <c r="B402" s="1">
        <v>2024</v>
      </c>
      <c r="C402" s="1" t="s">
        <v>14</v>
      </c>
      <c r="D402" s="1" t="s">
        <v>7</v>
      </c>
      <c r="E402" s="1">
        <v>97.896895969113942</v>
      </c>
      <c r="G402" t="s">
        <v>11</v>
      </c>
      <c r="H402">
        <v>2024</v>
      </c>
      <c r="I402" t="s">
        <v>14</v>
      </c>
      <c r="J402" t="s">
        <v>7</v>
      </c>
      <c r="K402" t="str">
        <f t="shared" si="6"/>
        <v>Urban2024February</v>
      </c>
      <c r="L402" s="2">
        <v>97.896895969113942</v>
      </c>
    </row>
    <row r="403" spans="1:12" x14ac:dyDescent="0.25">
      <c r="A403" s="1" t="s">
        <v>11</v>
      </c>
      <c r="B403" s="1">
        <v>2024</v>
      </c>
      <c r="C403" s="1" t="s">
        <v>14</v>
      </c>
      <c r="D403" s="1" t="s">
        <v>8</v>
      </c>
      <c r="E403" s="1">
        <v>97.865621497830858</v>
      </c>
      <c r="G403" t="s">
        <v>11</v>
      </c>
      <c r="H403">
        <v>2024</v>
      </c>
      <c r="I403" t="s">
        <v>14</v>
      </c>
      <c r="J403" t="s">
        <v>8</v>
      </c>
      <c r="K403" t="str">
        <f t="shared" si="6"/>
        <v>Combined2024February</v>
      </c>
      <c r="L403" s="2">
        <v>97.865621497830858</v>
      </c>
    </row>
    <row r="404" spans="1:12" x14ac:dyDescent="0.25">
      <c r="A404" s="1" t="s">
        <v>11</v>
      </c>
      <c r="B404" s="1">
        <v>2024</v>
      </c>
      <c r="C404" s="1" t="s">
        <v>15</v>
      </c>
      <c r="D404" s="1" t="s">
        <v>6</v>
      </c>
      <c r="E404" s="1">
        <v>98.071992715506184</v>
      </c>
      <c r="G404" t="s">
        <v>11</v>
      </c>
      <c r="H404">
        <v>2024</v>
      </c>
      <c r="I404" t="s">
        <v>15</v>
      </c>
      <c r="J404" t="s">
        <v>6</v>
      </c>
      <c r="K404" t="str">
        <f t="shared" si="6"/>
        <v>Rural2024March</v>
      </c>
      <c r="L404" s="2">
        <v>98.071992715506184</v>
      </c>
    </row>
    <row r="405" spans="1:12" x14ac:dyDescent="0.25">
      <c r="A405" s="1" t="s">
        <v>11</v>
      </c>
      <c r="B405" s="1">
        <v>2024</v>
      </c>
      <c r="C405" s="1" t="s">
        <v>15</v>
      </c>
      <c r="D405" s="1" t="s">
        <v>7</v>
      </c>
      <c r="E405" s="1">
        <v>97.684076630050654</v>
      </c>
      <c r="G405" t="s">
        <v>11</v>
      </c>
      <c r="H405">
        <v>2024</v>
      </c>
      <c r="I405" t="s">
        <v>15</v>
      </c>
      <c r="J405" t="s">
        <v>7</v>
      </c>
      <c r="K405" t="str">
        <f t="shared" si="6"/>
        <v>Urban2024March</v>
      </c>
      <c r="L405" s="2">
        <v>97.684076630050654</v>
      </c>
    </row>
    <row r="406" spans="1:12" x14ac:dyDescent="0.25">
      <c r="A406" s="1" t="s">
        <v>11</v>
      </c>
      <c r="B406" s="1">
        <v>2024</v>
      </c>
      <c r="C406" s="1" t="s">
        <v>15</v>
      </c>
      <c r="D406" s="1" t="s">
        <v>8</v>
      </c>
      <c r="E406" s="1">
        <v>97.865621497830858</v>
      </c>
      <c r="G406" t="s">
        <v>11</v>
      </c>
      <c r="H406">
        <v>2024</v>
      </c>
      <c r="I406" t="s">
        <v>15</v>
      </c>
      <c r="J406" t="s">
        <v>8</v>
      </c>
      <c r="K406" t="str">
        <f t="shared" si="6"/>
        <v>Combined2024March</v>
      </c>
      <c r="L406" s="2">
        <v>97.865621497830858</v>
      </c>
    </row>
    <row r="407" spans="1:12" x14ac:dyDescent="0.25">
      <c r="A407" s="1" t="s">
        <v>11</v>
      </c>
      <c r="B407" s="1">
        <v>2024</v>
      </c>
      <c r="C407" s="1" t="s">
        <v>16</v>
      </c>
      <c r="D407" s="1" t="s">
        <v>6</v>
      </c>
      <c r="E407" s="1">
        <v>98.43754327408368</v>
      </c>
      <c r="G407" t="s">
        <v>11</v>
      </c>
      <c r="H407">
        <v>2024</v>
      </c>
      <c r="I407" t="s">
        <v>16</v>
      </c>
      <c r="J407" t="s">
        <v>6</v>
      </c>
      <c r="K407" t="str">
        <f t="shared" si="6"/>
        <v>Rural2024April</v>
      </c>
      <c r="L407" s="2">
        <v>98.43754327408368</v>
      </c>
    </row>
    <row r="408" spans="1:12" x14ac:dyDescent="0.25">
      <c r="A408" s="1" t="s">
        <v>11</v>
      </c>
      <c r="B408" s="1">
        <v>2024</v>
      </c>
      <c r="C408" s="1" t="s">
        <v>16</v>
      </c>
      <c r="D408" s="1" t="s">
        <v>7</v>
      </c>
      <c r="E408" s="1">
        <v>98.269329812474695</v>
      </c>
      <c r="G408" t="s">
        <v>11</v>
      </c>
      <c r="H408">
        <v>2024</v>
      </c>
      <c r="I408" t="s">
        <v>16</v>
      </c>
      <c r="J408" t="s">
        <v>7</v>
      </c>
      <c r="K408" t="str">
        <f t="shared" si="6"/>
        <v>Urban2024April</v>
      </c>
      <c r="L408" s="2">
        <v>98.269329812474695</v>
      </c>
    </row>
    <row r="409" spans="1:12" x14ac:dyDescent="0.25">
      <c r="A409" s="1" t="s">
        <v>11</v>
      </c>
      <c r="B409" s="1">
        <v>2024</v>
      </c>
      <c r="C409" s="1" t="s">
        <v>16</v>
      </c>
      <c r="D409" s="1" t="s">
        <v>8</v>
      </c>
      <c r="E409" s="1">
        <v>98.339674562136807</v>
      </c>
      <c r="G409" t="s">
        <v>11</v>
      </c>
      <c r="H409">
        <v>2024</v>
      </c>
      <c r="I409" t="s">
        <v>16</v>
      </c>
      <c r="J409" t="s">
        <v>8</v>
      </c>
      <c r="K409" t="str">
        <f t="shared" si="6"/>
        <v>Combined2024April</v>
      </c>
      <c r="L409" s="2">
        <v>98.339674562136807</v>
      </c>
    </row>
    <row r="410" spans="1:12" x14ac:dyDescent="0.25">
      <c r="A410" s="1" t="s">
        <v>11</v>
      </c>
      <c r="B410" s="1">
        <v>2024</v>
      </c>
      <c r="C410" s="1" t="s">
        <v>17</v>
      </c>
      <c r="D410" s="1" t="s">
        <v>6</v>
      </c>
      <c r="E410" s="1">
        <v>98.907536849397616</v>
      </c>
      <c r="G410" t="s">
        <v>11</v>
      </c>
      <c r="H410">
        <v>2024</v>
      </c>
      <c r="I410" t="s">
        <v>17</v>
      </c>
      <c r="J410" t="s">
        <v>6</v>
      </c>
      <c r="K410" t="str">
        <f t="shared" si="6"/>
        <v>Rural2024May</v>
      </c>
      <c r="L410" s="2">
        <v>98.907536849397616</v>
      </c>
    </row>
    <row r="411" spans="1:12" x14ac:dyDescent="0.25">
      <c r="A411" s="1" t="s">
        <v>11</v>
      </c>
      <c r="B411" s="1">
        <v>2024</v>
      </c>
      <c r="C411" s="1" t="s">
        <v>17</v>
      </c>
      <c r="D411" s="1" t="s">
        <v>7</v>
      </c>
      <c r="E411" s="1">
        <v>98.801378160132927</v>
      </c>
      <c r="G411" t="s">
        <v>11</v>
      </c>
      <c r="H411">
        <v>2024</v>
      </c>
      <c r="I411" t="s">
        <v>17</v>
      </c>
      <c r="J411" t="s">
        <v>7</v>
      </c>
      <c r="K411" t="str">
        <f t="shared" si="6"/>
        <v>Urban2024May</v>
      </c>
      <c r="L411" s="2">
        <v>98.801378160132927</v>
      </c>
    </row>
    <row r="412" spans="1:12" x14ac:dyDescent="0.25">
      <c r="A412" s="1" t="s">
        <v>11</v>
      </c>
      <c r="B412" s="1">
        <v>2024</v>
      </c>
      <c r="C412" s="1" t="s">
        <v>17</v>
      </c>
      <c r="D412" s="1" t="s">
        <v>8</v>
      </c>
      <c r="E412" s="1">
        <v>98.866400189143434</v>
      </c>
      <c r="G412" t="s">
        <v>11</v>
      </c>
      <c r="H412">
        <v>2024</v>
      </c>
      <c r="I412" t="s">
        <v>17</v>
      </c>
      <c r="J412" t="s">
        <v>8</v>
      </c>
      <c r="K412" t="str">
        <f t="shared" si="6"/>
        <v>Combined2024May</v>
      </c>
      <c r="L412" s="2">
        <v>98.866400189143434</v>
      </c>
    </row>
    <row r="413" spans="1:12" x14ac:dyDescent="0.25">
      <c r="A413" s="1" t="s">
        <v>11</v>
      </c>
      <c r="B413" s="1">
        <v>2024</v>
      </c>
      <c r="C413" s="1" t="s">
        <v>18</v>
      </c>
      <c r="D413" s="1" t="s">
        <v>6</v>
      </c>
      <c r="E413" s="1">
        <v>100.3697390837076</v>
      </c>
      <c r="G413" t="s">
        <v>11</v>
      </c>
      <c r="H413">
        <v>2024</v>
      </c>
      <c r="I413" t="s">
        <v>18</v>
      </c>
      <c r="J413" t="s">
        <v>6</v>
      </c>
      <c r="K413" t="str">
        <f t="shared" si="6"/>
        <v>Rural2024June</v>
      </c>
      <c r="L413" s="2">
        <v>100.3697390837076</v>
      </c>
    </row>
    <row r="414" spans="1:12" x14ac:dyDescent="0.25">
      <c r="A414" s="1" t="s">
        <v>11</v>
      </c>
      <c r="B414" s="1">
        <v>2024</v>
      </c>
      <c r="C414" s="1" t="s">
        <v>18</v>
      </c>
      <c r="D414" s="1" t="s">
        <v>7</v>
      </c>
      <c r="E414" s="1">
        <v>99.918679690215214</v>
      </c>
      <c r="G414" t="s">
        <v>11</v>
      </c>
      <c r="H414">
        <v>2024</v>
      </c>
      <c r="I414" t="s">
        <v>18</v>
      </c>
      <c r="J414" t="s">
        <v>7</v>
      </c>
      <c r="K414" t="str">
        <f t="shared" si="6"/>
        <v>Urban2024June</v>
      </c>
      <c r="L414" s="2">
        <v>99.918679690215214</v>
      </c>
    </row>
    <row r="415" spans="1:12" x14ac:dyDescent="0.25">
      <c r="A415" s="1" t="s">
        <v>11</v>
      </c>
      <c r="B415" s="1">
        <v>2024</v>
      </c>
      <c r="C415" s="1" t="s">
        <v>18</v>
      </c>
      <c r="D415" s="1" t="s">
        <v>8</v>
      </c>
      <c r="E415" s="1">
        <v>100.18321425665999</v>
      </c>
      <c r="G415" t="s">
        <v>11</v>
      </c>
      <c r="H415">
        <v>2024</v>
      </c>
      <c r="I415" t="s">
        <v>18</v>
      </c>
      <c r="J415" t="s">
        <v>8</v>
      </c>
      <c r="K415" t="str">
        <f t="shared" si="6"/>
        <v>Combined2024June</v>
      </c>
      <c r="L415" s="2">
        <v>100.18321425665999</v>
      </c>
    </row>
    <row r="416" spans="1:12" x14ac:dyDescent="0.25">
      <c r="A416" s="1" t="s">
        <v>11</v>
      </c>
      <c r="B416" s="1">
        <v>2024</v>
      </c>
      <c r="C416" s="1" t="s">
        <v>19</v>
      </c>
      <c r="D416" s="1" t="s">
        <v>6</v>
      </c>
      <c r="E416" s="1">
        <v>101.98860584312224</v>
      </c>
      <c r="G416" t="s">
        <v>11</v>
      </c>
      <c r="H416">
        <v>2024</v>
      </c>
      <c r="I416" t="s">
        <v>19</v>
      </c>
      <c r="J416" t="s">
        <v>6</v>
      </c>
      <c r="K416" t="str">
        <f t="shared" si="6"/>
        <v>Rural2024July</v>
      </c>
      <c r="L416" s="2">
        <v>101.98860584312224</v>
      </c>
    </row>
    <row r="417" spans="1:12" x14ac:dyDescent="0.25">
      <c r="A417" s="1" t="s">
        <v>11</v>
      </c>
      <c r="B417" s="1">
        <v>2024</v>
      </c>
      <c r="C417" s="1" t="s">
        <v>19</v>
      </c>
      <c r="D417" s="1" t="s">
        <v>7</v>
      </c>
      <c r="E417" s="1">
        <v>101.24880055936079</v>
      </c>
      <c r="G417" t="s">
        <v>11</v>
      </c>
      <c r="H417">
        <v>2024</v>
      </c>
      <c r="I417" t="s">
        <v>19</v>
      </c>
      <c r="J417" t="s">
        <v>7</v>
      </c>
      <c r="K417" t="str">
        <f t="shared" si="6"/>
        <v>Urban2024July</v>
      </c>
      <c r="L417" s="2">
        <v>101.24880055936079</v>
      </c>
    </row>
    <row r="418" spans="1:12" x14ac:dyDescent="0.25">
      <c r="A418" s="1" t="s">
        <v>11</v>
      </c>
      <c r="B418" s="1">
        <v>2024</v>
      </c>
      <c r="C418" s="1" t="s">
        <v>19</v>
      </c>
      <c r="D418" s="1" t="s">
        <v>8</v>
      </c>
      <c r="E418" s="1">
        <v>101.65804601227855</v>
      </c>
      <c r="G418" t="s">
        <v>11</v>
      </c>
      <c r="H418">
        <v>2024</v>
      </c>
      <c r="I418" t="s">
        <v>19</v>
      </c>
      <c r="J418" t="s">
        <v>8</v>
      </c>
      <c r="K418" t="str">
        <f t="shared" si="6"/>
        <v>Combined2024July</v>
      </c>
      <c r="L418" s="2">
        <v>101.65804601227855</v>
      </c>
    </row>
    <row r="419" spans="1:12" x14ac:dyDescent="0.25">
      <c r="A419" s="1" t="s">
        <v>11</v>
      </c>
      <c r="B419" s="1">
        <v>2024</v>
      </c>
      <c r="C419" s="1" t="s">
        <v>20</v>
      </c>
      <c r="D419" s="1" t="s">
        <v>6</v>
      </c>
      <c r="E419" s="1">
        <v>102.04082735149046</v>
      </c>
      <c r="G419" t="s">
        <v>11</v>
      </c>
      <c r="H419">
        <v>2024</v>
      </c>
      <c r="I419" t="s">
        <v>20</v>
      </c>
      <c r="J419" t="s">
        <v>6</v>
      </c>
      <c r="K419" t="str">
        <f t="shared" si="6"/>
        <v>Rural2024August</v>
      </c>
      <c r="L419" s="2">
        <v>102.04082735149046</v>
      </c>
    </row>
    <row r="420" spans="1:12" x14ac:dyDescent="0.25">
      <c r="A420" s="1" t="s">
        <v>11</v>
      </c>
      <c r="B420" s="1">
        <v>2024</v>
      </c>
      <c r="C420" s="1" t="s">
        <v>20</v>
      </c>
      <c r="D420" s="1" t="s">
        <v>7</v>
      </c>
      <c r="E420" s="1">
        <v>101.24880055936079</v>
      </c>
      <c r="G420" t="s">
        <v>11</v>
      </c>
      <c r="H420">
        <v>2024</v>
      </c>
      <c r="I420" t="s">
        <v>20</v>
      </c>
      <c r="J420" t="s">
        <v>7</v>
      </c>
      <c r="K420" t="str">
        <f t="shared" si="6"/>
        <v>Urban2024August</v>
      </c>
      <c r="L420" s="2">
        <v>101.24880055936079</v>
      </c>
    </row>
    <row r="421" spans="1:12" x14ac:dyDescent="0.25">
      <c r="A421" s="1" t="s">
        <v>11</v>
      </c>
      <c r="B421" s="1">
        <v>2024</v>
      </c>
      <c r="C421" s="1" t="s">
        <v>20</v>
      </c>
      <c r="D421" s="1" t="s">
        <v>8</v>
      </c>
      <c r="E421" s="1">
        <v>101.65804601227855</v>
      </c>
      <c r="G421" t="s">
        <v>11</v>
      </c>
      <c r="H421">
        <v>2024</v>
      </c>
      <c r="I421" t="s">
        <v>20</v>
      </c>
      <c r="J421" t="s">
        <v>8</v>
      </c>
      <c r="K421" t="str">
        <f t="shared" si="6"/>
        <v>Combined2024August</v>
      </c>
      <c r="L421" s="2">
        <v>101.65804601227855</v>
      </c>
    </row>
    <row r="422" spans="1:12" x14ac:dyDescent="0.25">
      <c r="A422" s="1" t="s">
        <v>11</v>
      </c>
      <c r="B422" s="1">
        <v>2024</v>
      </c>
      <c r="C422" s="1" t="s">
        <v>21</v>
      </c>
      <c r="D422" s="1" t="s">
        <v>6</v>
      </c>
      <c r="E422" s="1">
        <v>102.71970696027724</v>
      </c>
      <c r="G422" t="s">
        <v>11</v>
      </c>
      <c r="H422">
        <v>2024</v>
      </c>
      <c r="I422" t="s">
        <v>21</v>
      </c>
      <c r="J422" t="s">
        <v>6</v>
      </c>
      <c r="K422" t="str">
        <f t="shared" si="6"/>
        <v>Rural2024September</v>
      </c>
      <c r="L422" s="2">
        <v>102.71970696027724</v>
      </c>
    </row>
    <row r="423" spans="1:12" x14ac:dyDescent="0.25">
      <c r="A423" s="1" t="s">
        <v>11</v>
      </c>
      <c r="B423" s="1">
        <v>2024</v>
      </c>
      <c r="C423" s="1" t="s">
        <v>21</v>
      </c>
      <c r="D423" s="1" t="s">
        <v>7</v>
      </c>
      <c r="E423" s="1">
        <v>101.83405374178483</v>
      </c>
      <c r="G423" t="s">
        <v>11</v>
      </c>
      <c r="H423">
        <v>2024</v>
      </c>
      <c r="I423" t="s">
        <v>21</v>
      </c>
      <c r="J423" t="s">
        <v>7</v>
      </c>
      <c r="K423" t="str">
        <f t="shared" si="6"/>
        <v>Urban2024September</v>
      </c>
      <c r="L423" s="2">
        <v>101.83405374178483</v>
      </c>
    </row>
    <row r="424" spans="1:12" x14ac:dyDescent="0.25">
      <c r="A424" s="1" t="s">
        <v>11</v>
      </c>
      <c r="B424" s="1">
        <v>2024</v>
      </c>
      <c r="C424" s="1" t="s">
        <v>21</v>
      </c>
      <c r="D424" s="1" t="s">
        <v>8</v>
      </c>
      <c r="E424" s="1">
        <v>102.2901167646865</v>
      </c>
      <c r="G424" t="s">
        <v>11</v>
      </c>
      <c r="H424">
        <v>2024</v>
      </c>
      <c r="I424" t="s">
        <v>21</v>
      </c>
      <c r="J424" t="s">
        <v>8</v>
      </c>
      <c r="K424" t="str">
        <f t="shared" si="6"/>
        <v>Combined2024September</v>
      </c>
      <c r="L424" s="2">
        <v>102.2901167646865</v>
      </c>
    </row>
    <row r="425" spans="1:12" x14ac:dyDescent="0.25">
      <c r="A425" s="1" t="s">
        <v>11</v>
      </c>
      <c r="B425" s="1">
        <v>2024</v>
      </c>
      <c r="C425" s="1" t="s">
        <v>22</v>
      </c>
      <c r="D425" s="1" t="s">
        <v>6</v>
      </c>
      <c r="E425" s="1">
        <v>104.18190919458723</v>
      </c>
      <c r="G425" t="s">
        <v>11</v>
      </c>
      <c r="H425">
        <v>2024</v>
      </c>
      <c r="I425" t="s">
        <v>22</v>
      </c>
      <c r="J425" t="s">
        <v>6</v>
      </c>
      <c r="K425" t="str">
        <f t="shared" si="6"/>
        <v>Rural2024October</v>
      </c>
      <c r="L425" s="2">
        <v>104.18190919458723</v>
      </c>
    </row>
    <row r="426" spans="1:12" x14ac:dyDescent="0.25">
      <c r="A426" s="1" t="s">
        <v>11</v>
      </c>
      <c r="B426" s="1">
        <v>2024</v>
      </c>
      <c r="C426" s="1" t="s">
        <v>22</v>
      </c>
      <c r="D426" s="1" t="s">
        <v>7</v>
      </c>
      <c r="E426" s="1">
        <v>103.05776494139874</v>
      </c>
      <c r="G426" t="s">
        <v>11</v>
      </c>
      <c r="H426">
        <v>2024</v>
      </c>
      <c r="I426" t="s">
        <v>22</v>
      </c>
      <c r="J426" t="s">
        <v>7</v>
      </c>
      <c r="K426" t="str">
        <f t="shared" si="6"/>
        <v>Urban2024October</v>
      </c>
      <c r="L426" s="2">
        <v>103.05776494139874</v>
      </c>
    </row>
    <row r="427" spans="1:12" x14ac:dyDescent="0.25">
      <c r="A427" s="1" t="s">
        <v>11</v>
      </c>
      <c r="B427" s="1">
        <v>2024</v>
      </c>
      <c r="C427" s="1" t="s">
        <v>22</v>
      </c>
      <c r="D427" s="1" t="s">
        <v>8</v>
      </c>
      <c r="E427" s="1">
        <v>103.65960339490373</v>
      </c>
      <c r="G427" t="s">
        <v>11</v>
      </c>
      <c r="H427">
        <v>2024</v>
      </c>
      <c r="I427" t="s">
        <v>22</v>
      </c>
      <c r="J427" t="s">
        <v>8</v>
      </c>
      <c r="K427" t="str">
        <f t="shared" si="6"/>
        <v>Combined2024October</v>
      </c>
      <c r="L427" s="2">
        <v>103.65960339490373</v>
      </c>
    </row>
    <row r="428" spans="1:12" x14ac:dyDescent="0.25">
      <c r="A428" s="1" t="s">
        <v>11</v>
      </c>
      <c r="B428" s="1">
        <v>2024</v>
      </c>
      <c r="C428" s="1" t="s">
        <v>23</v>
      </c>
      <c r="D428" s="1" t="s">
        <v>6</v>
      </c>
      <c r="E428" s="1">
        <v>104.12968768621903</v>
      </c>
      <c r="G428" t="s">
        <v>11</v>
      </c>
      <c r="H428">
        <v>2024</v>
      </c>
      <c r="I428" t="s">
        <v>23</v>
      </c>
      <c r="J428" t="s">
        <v>6</v>
      </c>
      <c r="K428" t="str">
        <f t="shared" si="6"/>
        <v>Rural2024November</v>
      </c>
      <c r="L428" s="2">
        <v>104.12968768621903</v>
      </c>
    </row>
    <row r="429" spans="1:12" x14ac:dyDescent="0.25">
      <c r="A429" s="1" t="s">
        <v>11</v>
      </c>
      <c r="B429" s="1">
        <v>2024</v>
      </c>
      <c r="C429" s="1" t="s">
        <v>23</v>
      </c>
      <c r="D429" s="1" t="s">
        <v>7</v>
      </c>
      <c r="E429" s="1">
        <v>102.79174076756964</v>
      </c>
      <c r="G429" t="s">
        <v>11</v>
      </c>
      <c r="H429">
        <v>2024</v>
      </c>
      <c r="I429" t="s">
        <v>23</v>
      </c>
      <c r="J429" t="s">
        <v>7</v>
      </c>
      <c r="K429" t="str">
        <f t="shared" si="6"/>
        <v>Urban2024November</v>
      </c>
      <c r="L429" s="2">
        <v>102.79174076756964</v>
      </c>
    </row>
    <row r="430" spans="1:12" x14ac:dyDescent="0.25">
      <c r="A430" s="1" t="s">
        <v>11</v>
      </c>
      <c r="B430" s="1">
        <v>2024</v>
      </c>
      <c r="C430" s="1" t="s">
        <v>23</v>
      </c>
      <c r="D430" s="1" t="s">
        <v>8</v>
      </c>
      <c r="E430" s="1">
        <v>103.50158570680173</v>
      </c>
      <c r="G430" t="s">
        <v>11</v>
      </c>
      <c r="H430">
        <v>2024</v>
      </c>
      <c r="I430" t="s">
        <v>23</v>
      </c>
      <c r="J430" t="s">
        <v>8</v>
      </c>
      <c r="K430" t="str">
        <f t="shared" si="6"/>
        <v>Combined2024November</v>
      </c>
      <c r="L430" s="2">
        <v>103.50158570680173</v>
      </c>
    </row>
    <row r="431" spans="1:12" x14ac:dyDescent="0.25">
      <c r="A431" s="1" t="s">
        <v>11</v>
      </c>
      <c r="B431" s="1">
        <v>2024</v>
      </c>
      <c r="C431" s="1" t="s">
        <v>24</v>
      </c>
      <c r="D431" s="1" t="s">
        <v>6</v>
      </c>
      <c r="E431" s="1">
        <v>103.60747260253689</v>
      </c>
      <c r="G431" t="s">
        <v>11</v>
      </c>
      <c r="H431">
        <v>2024</v>
      </c>
      <c r="I431" t="s">
        <v>24</v>
      </c>
      <c r="J431" t="s">
        <v>6</v>
      </c>
      <c r="K431" t="str">
        <f t="shared" si="6"/>
        <v>Rural2024December</v>
      </c>
      <c r="L431" s="2">
        <v>103.60747260253689</v>
      </c>
    </row>
    <row r="432" spans="1:12" x14ac:dyDescent="0.25">
      <c r="A432" s="1" t="s">
        <v>11</v>
      </c>
      <c r="B432" s="1">
        <v>2024</v>
      </c>
      <c r="C432" s="1" t="s">
        <v>24</v>
      </c>
      <c r="D432" s="1" t="s">
        <v>7</v>
      </c>
      <c r="E432" s="1">
        <v>102.15328275037976</v>
      </c>
      <c r="G432" t="s">
        <v>11</v>
      </c>
      <c r="H432">
        <v>2024</v>
      </c>
      <c r="I432" t="s">
        <v>24</v>
      </c>
      <c r="J432" t="s">
        <v>7</v>
      </c>
      <c r="K432" t="str">
        <f t="shared" si="6"/>
        <v>Urban2024December</v>
      </c>
      <c r="L432" s="2">
        <v>102.15328275037976</v>
      </c>
    </row>
    <row r="433" spans="1:12" x14ac:dyDescent="0.25">
      <c r="A433" s="1" t="s">
        <v>11</v>
      </c>
      <c r="B433" s="1">
        <v>2024</v>
      </c>
      <c r="C433" s="1" t="s">
        <v>24</v>
      </c>
      <c r="D433" s="1" t="s">
        <v>8</v>
      </c>
      <c r="E433" s="1">
        <v>102.92218751709446</v>
      </c>
      <c r="G433" t="s">
        <v>11</v>
      </c>
      <c r="H433">
        <v>2024</v>
      </c>
      <c r="I433" t="s">
        <v>24</v>
      </c>
      <c r="J433" t="s">
        <v>8</v>
      </c>
      <c r="K433" t="str">
        <f t="shared" si="6"/>
        <v>Combined2024December</v>
      </c>
      <c r="L433" s="2">
        <v>102.92218751709446</v>
      </c>
    </row>
    <row r="434" spans="1:12" x14ac:dyDescent="0.25">
      <c r="A434" s="1" t="s">
        <v>11</v>
      </c>
      <c r="B434" s="1">
        <v>2025</v>
      </c>
      <c r="C434" s="1" t="s">
        <v>10</v>
      </c>
      <c r="D434" s="1" t="s">
        <v>6</v>
      </c>
      <c r="E434" s="1">
        <v>102.30193489333153</v>
      </c>
      <c r="G434" t="s">
        <v>11</v>
      </c>
      <c r="H434">
        <v>2025</v>
      </c>
      <c r="I434" t="s">
        <v>10</v>
      </c>
      <c r="J434" t="s">
        <v>6</v>
      </c>
      <c r="K434" t="str">
        <f t="shared" si="6"/>
        <v>Rural2025January</v>
      </c>
      <c r="L434" s="2">
        <v>102.30193489333153</v>
      </c>
    </row>
    <row r="435" spans="1:12" x14ac:dyDescent="0.25">
      <c r="A435" s="1" t="s">
        <v>11</v>
      </c>
      <c r="B435" s="1">
        <v>2025</v>
      </c>
      <c r="C435" s="1" t="s">
        <v>10</v>
      </c>
      <c r="D435" s="1" t="s">
        <v>7</v>
      </c>
      <c r="E435" s="1">
        <v>101.40841506365824</v>
      </c>
      <c r="G435" t="s">
        <v>11</v>
      </c>
      <c r="H435">
        <v>2025</v>
      </c>
      <c r="I435" t="s">
        <v>10</v>
      </c>
      <c r="J435" t="s">
        <v>7</v>
      </c>
      <c r="K435" t="str">
        <f t="shared" si="6"/>
        <v>Urban2025January</v>
      </c>
      <c r="L435" s="2">
        <v>101.40841506365824</v>
      </c>
    </row>
    <row r="436" spans="1:12" x14ac:dyDescent="0.25">
      <c r="A436" s="1" t="s">
        <v>11</v>
      </c>
      <c r="B436" s="1">
        <v>2025</v>
      </c>
      <c r="C436" s="1" t="s">
        <v>10</v>
      </c>
      <c r="D436" s="1" t="s">
        <v>8</v>
      </c>
      <c r="E436" s="1">
        <v>101.8687362630812</v>
      </c>
      <c r="G436" t="s">
        <v>11</v>
      </c>
      <c r="H436">
        <v>2025</v>
      </c>
      <c r="I436" t="s">
        <v>10</v>
      </c>
      <c r="J436" t="s">
        <v>8</v>
      </c>
      <c r="K436" t="str">
        <f t="shared" si="6"/>
        <v>Combined2025January</v>
      </c>
      <c r="L436" s="2">
        <v>101.8687362630812</v>
      </c>
    </row>
    <row r="437" spans="1:12" x14ac:dyDescent="0.25">
      <c r="A437" s="1" t="s">
        <v>11</v>
      </c>
      <c r="B437" s="1">
        <v>2025</v>
      </c>
      <c r="C437" s="1" t="s">
        <v>14</v>
      </c>
      <c r="D437" s="1" t="s">
        <v>6</v>
      </c>
      <c r="E437" s="1">
        <v>101.57083377617653</v>
      </c>
      <c r="G437" t="s">
        <v>11</v>
      </c>
      <c r="H437">
        <v>2025</v>
      </c>
      <c r="I437" t="s">
        <v>14</v>
      </c>
      <c r="J437" t="s">
        <v>6</v>
      </c>
      <c r="K437" t="str">
        <f t="shared" si="6"/>
        <v>Rural2025February</v>
      </c>
      <c r="L437" s="2">
        <v>101.57083377617653</v>
      </c>
    </row>
    <row r="438" spans="1:12" x14ac:dyDescent="0.25">
      <c r="A438" s="1" t="s">
        <v>11</v>
      </c>
      <c r="B438" s="1">
        <v>2025</v>
      </c>
      <c r="C438" s="1" t="s">
        <v>14</v>
      </c>
      <c r="D438" s="1" t="s">
        <v>7</v>
      </c>
      <c r="E438" s="1">
        <v>101.14239088982913</v>
      </c>
      <c r="G438" t="s">
        <v>11</v>
      </c>
      <c r="H438">
        <v>2025</v>
      </c>
      <c r="I438" t="s">
        <v>14</v>
      </c>
      <c r="J438" t="s">
        <v>7</v>
      </c>
      <c r="K438" t="str">
        <f t="shared" si="6"/>
        <v>Urban2025February</v>
      </c>
      <c r="L438" s="2">
        <v>101.14239088982913</v>
      </c>
    </row>
    <row r="439" spans="1:12" x14ac:dyDescent="0.25">
      <c r="A439" s="1" t="s">
        <v>11</v>
      </c>
      <c r="B439" s="1">
        <v>2025</v>
      </c>
      <c r="C439" s="1" t="s">
        <v>14</v>
      </c>
      <c r="D439" s="1" t="s">
        <v>8</v>
      </c>
      <c r="E439" s="1">
        <v>101.39468319877524</v>
      </c>
      <c r="G439" t="s">
        <v>11</v>
      </c>
      <c r="H439">
        <v>2025</v>
      </c>
      <c r="I439" t="s">
        <v>14</v>
      </c>
      <c r="J439" t="s">
        <v>8</v>
      </c>
      <c r="K439" t="str">
        <f t="shared" si="6"/>
        <v>Combined2025February</v>
      </c>
      <c r="L439" s="2">
        <v>101.39468319877524</v>
      </c>
    </row>
    <row r="440" spans="1:12" x14ac:dyDescent="0.25">
      <c r="A440" s="1" t="s">
        <v>11</v>
      </c>
      <c r="B440" s="1">
        <v>2025</v>
      </c>
      <c r="C440" s="1" t="s">
        <v>15</v>
      </c>
      <c r="D440" s="1" t="s">
        <v>6</v>
      </c>
      <c r="E440" s="1">
        <v>101.25750472596725</v>
      </c>
      <c r="G440" t="s">
        <v>11</v>
      </c>
      <c r="H440">
        <v>2025</v>
      </c>
      <c r="I440" t="s">
        <v>15</v>
      </c>
      <c r="J440" t="s">
        <v>6</v>
      </c>
      <c r="K440" t="str">
        <f t="shared" si="6"/>
        <v>Rural2025March</v>
      </c>
      <c r="L440" s="2">
        <v>101.25750472596725</v>
      </c>
    </row>
    <row r="441" spans="1:12" x14ac:dyDescent="0.25">
      <c r="A441" s="1" t="s">
        <v>11</v>
      </c>
      <c r="B441" s="1">
        <v>2025</v>
      </c>
      <c r="C441" s="1" t="s">
        <v>15</v>
      </c>
      <c r="D441" s="1" t="s">
        <v>7</v>
      </c>
      <c r="E441" s="1">
        <v>101.03598122029749</v>
      </c>
      <c r="G441" t="s">
        <v>11</v>
      </c>
      <c r="H441">
        <v>2025</v>
      </c>
      <c r="I441" t="s">
        <v>15</v>
      </c>
      <c r="J441" t="s">
        <v>7</v>
      </c>
      <c r="K441" t="str">
        <f t="shared" si="6"/>
        <v>Urban2025March</v>
      </c>
      <c r="L441" s="2">
        <v>101.03598122029749</v>
      </c>
    </row>
    <row r="442" spans="1:12" x14ac:dyDescent="0.25">
      <c r="A442" s="1" t="s">
        <v>11</v>
      </c>
      <c r="B442" s="1">
        <v>2025</v>
      </c>
      <c r="C442" s="1" t="s">
        <v>15</v>
      </c>
      <c r="D442" s="1" t="s">
        <v>8</v>
      </c>
      <c r="E442" s="1">
        <v>101.13132038527192</v>
      </c>
      <c r="G442" t="s">
        <v>11</v>
      </c>
      <c r="H442">
        <v>2025</v>
      </c>
      <c r="I442" t="s">
        <v>15</v>
      </c>
      <c r="J442" t="s">
        <v>8</v>
      </c>
      <c r="K442" t="str">
        <f t="shared" si="6"/>
        <v>Combined2025March</v>
      </c>
      <c r="L442" s="2">
        <v>101.13132038527192</v>
      </c>
    </row>
    <row r="443" spans="1:12" x14ac:dyDescent="0.25">
      <c r="A443" s="1" t="s">
        <v>11</v>
      </c>
      <c r="B443" s="1">
        <v>2025</v>
      </c>
      <c r="C443" s="1" t="s">
        <v>16</v>
      </c>
      <c r="D443" s="1" t="s">
        <v>6</v>
      </c>
      <c r="E443" s="1">
        <v>101.30972623433546</v>
      </c>
      <c r="G443" t="s">
        <v>11</v>
      </c>
      <c r="H443">
        <v>2025</v>
      </c>
      <c r="I443" t="s">
        <v>16</v>
      </c>
      <c r="J443" t="s">
        <v>6</v>
      </c>
      <c r="K443" t="str">
        <f t="shared" si="6"/>
        <v>Rural2025April</v>
      </c>
      <c r="L443" s="2">
        <v>101.30972623433546</v>
      </c>
    </row>
    <row r="444" spans="1:12" x14ac:dyDescent="0.25">
      <c r="A444" s="1" t="s">
        <v>11</v>
      </c>
      <c r="B444" s="1">
        <v>2025</v>
      </c>
      <c r="C444" s="1" t="s">
        <v>16</v>
      </c>
      <c r="D444" s="1" t="s">
        <v>7</v>
      </c>
      <c r="E444" s="1">
        <v>101.56802956795572</v>
      </c>
      <c r="G444" t="s">
        <v>11</v>
      </c>
      <c r="H444">
        <v>2025</v>
      </c>
      <c r="I444" t="s">
        <v>16</v>
      </c>
      <c r="J444" t="s">
        <v>7</v>
      </c>
      <c r="K444" t="str">
        <f t="shared" si="6"/>
        <v>Urban2025April</v>
      </c>
      <c r="L444" s="2">
        <v>101.56802956795572</v>
      </c>
    </row>
    <row r="445" spans="1:12" x14ac:dyDescent="0.25">
      <c r="A445" s="1" t="s">
        <v>11</v>
      </c>
      <c r="B445" s="1">
        <v>2025</v>
      </c>
      <c r="C445" s="1" t="s">
        <v>16</v>
      </c>
      <c r="D445" s="1" t="s">
        <v>8</v>
      </c>
      <c r="E445" s="1">
        <v>101.4473557614759</v>
      </c>
      <c r="G445" t="s">
        <v>11</v>
      </c>
      <c r="H445">
        <v>2025</v>
      </c>
      <c r="I445" t="s">
        <v>16</v>
      </c>
      <c r="J445" t="s">
        <v>8</v>
      </c>
      <c r="K445" t="str">
        <f t="shared" si="6"/>
        <v>Combined2025April</v>
      </c>
      <c r="L445" s="2">
        <v>101.4473557614759</v>
      </c>
    </row>
    <row r="446" spans="1:12" x14ac:dyDescent="0.25">
      <c r="A446" s="1" t="s">
        <v>11</v>
      </c>
      <c r="B446" s="1">
        <v>2025</v>
      </c>
      <c r="C446" s="1" t="s">
        <v>17</v>
      </c>
      <c r="D446" s="1" t="s">
        <v>6</v>
      </c>
      <c r="E446" s="1">
        <v>101.4663907594401</v>
      </c>
      <c r="G446" t="s">
        <v>11</v>
      </c>
      <c r="H446">
        <v>2025</v>
      </c>
      <c r="I446" t="s">
        <v>17</v>
      </c>
      <c r="J446" t="s">
        <v>6</v>
      </c>
      <c r="K446" t="str">
        <f t="shared" si="6"/>
        <v>Rural2025May</v>
      </c>
      <c r="L446" s="2">
        <v>101.4663907594401</v>
      </c>
    </row>
    <row r="447" spans="1:12" x14ac:dyDescent="0.25">
      <c r="A447" s="1" t="s">
        <v>11</v>
      </c>
      <c r="B447" s="1">
        <v>2025</v>
      </c>
      <c r="C447" s="1" t="s">
        <v>17</v>
      </c>
      <c r="D447" s="1" t="s">
        <v>7</v>
      </c>
      <c r="E447" s="1">
        <v>101.88725857655065</v>
      </c>
      <c r="G447" t="s">
        <v>11</v>
      </c>
      <c r="H447">
        <v>2025</v>
      </c>
      <c r="I447" t="s">
        <v>17</v>
      </c>
      <c r="J447" t="s">
        <v>7</v>
      </c>
      <c r="K447" t="str">
        <f t="shared" si="6"/>
        <v>Urban2025May</v>
      </c>
      <c r="L447" s="2">
        <v>101.88725857655065</v>
      </c>
    </row>
    <row r="448" spans="1:12" x14ac:dyDescent="0.25">
      <c r="A448" s="1" t="s">
        <v>11</v>
      </c>
      <c r="B448" s="1">
        <v>2025</v>
      </c>
      <c r="C448" s="1" t="s">
        <v>17</v>
      </c>
      <c r="D448" s="1" t="s">
        <v>8</v>
      </c>
      <c r="E448" s="1">
        <v>101.65804601227855</v>
      </c>
      <c r="G448" t="s">
        <v>11</v>
      </c>
      <c r="H448">
        <v>2025</v>
      </c>
      <c r="I448" t="s">
        <v>17</v>
      </c>
      <c r="J448" t="s">
        <v>8</v>
      </c>
      <c r="K448" t="str">
        <f t="shared" si="6"/>
        <v>Combined2025May</v>
      </c>
      <c r="L448" s="2">
        <v>101.65804601227855</v>
      </c>
    </row>
    <row r="449" spans="1:12" x14ac:dyDescent="0.25">
      <c r="A449" s="1" t="s">
        <v>11</v>
      </c>
      <c r="B449" s="1">
        <v>2025</v>
      </c>
      <c r="C449" s="1" t="s">
        <v>18</v>
      </c>
      <c r="D449" s="1" t="s">
        <v>6</v>
      </c>
      <c r="E449" s="1">
        <v>102.09304885985867</v>
      </c>
      <c r="G449" t="s">
        <v>11</v>
      </c>
      <c r="H449">
        <v>2025</v>
      </c>
      <c r="I449" t="s">
        <v>18</v>
      </c>
      <c r="J449" t="s">
        <v>6</v>
      </c>
      <c r="K449" t="str">
        <f t="shared" si="6"/>
        <v>Rural2025June</v>
      </c>
      <c r="L449" s="2">
        <v>102.09304885985867</v>
      </c>
    </row>
    <row r="450" spans="1:12" x14ac:dyDescent="0.25">
      <c r="A450" s="1" t="s">
        <v>11</v>
      </c>
      <c r="B450" s="1">
        <v>2025</v>
      </c>
      <c r="C450" s="1" t="s">
        <v>18</v>
      </c>
      <c r="D450" s="1" t="s">
        <v>7</v>
      </c>
      <c r="E450" s="1">
        <v>102.4725117589747</v>
      </c>
      <c r="G450" t="s">
        <v>11</v>
      </c>
      <c r="H450">
        <v>2025</v>
      </c>
      <c r="I450" t="s">
        <v>18</v>
      </c>
      <c r="J450" t="s">
        <v>7</v>
      </c>
      <c r="K450" t="str">
        <f t="shared" si="6"/>
        <v>Urban2025June</v>
      </c>
      <c r="L450" s="2">
        <v>102.4725117589747</v>
      </c>
    </row>
    <row r="451" spans="1:12" x14ac:dyDescent="0.25">
      <c r="A451" s="1" t="s">
        <v>11</v>
      </c>
      <c r="B451" s="1">
        <v>2025</v>
      </c>
      <c r="C451" s="1" t="s">
        <v>18</v>
      </c>
      <c r="D451" s="1" t="s">
        <v>8</v>
      </c>
      <c r="E451" s="1">
        <v>102.2901167646865</v>
      </c>
      <c r="G451" t="s">
        <v>11</v>
      </c>
      <c r="H451">
        <v>2025</v>
      </c>
      <c r="I451" t="s">
        <v>18</v>
      </c>
      <c r="J451" t="s">
        <v>8</v>
      </c>
      <c r="K451" t="str">
        <f t="shared" ref="K451:K469" si="7">CONCATENATE(J451,H451,I451)</f>
        <v>Combined2025June</v>
      </c>
      <c r="L451" s="2">
        <v>102.2901167646865</v>
      </c>
    </row>
    <row r="452" spans="1:12" x14ac:dyDescent="0.25">
      <c r="A452" s="1" t="s">
        <v>11</v>
      </c>
      <c r="B452" s="1">
        <v>2025</v>
      </c>
      <c r="C452" s="1" t="s">
        <v>19</v>
      </c>
      <c r="D452" s="1" t="s">
        <v>6</v>
      </c>
      <c r="E452" s="1">
        <v>103.18970053559116</v>
      </c>
      <c r="G452" t="s">
        <v>11</v>
      </c>
      <c r="H452">
        <v>2025</v>
      </c>
      <c r="I452" t="s">
        <v>19</v>
      </c>
      <c r="J452" t="s">
        <v>6</v>
      </c>
      <c r="K452" t="str">
        <f t="shared" si="7"/>
        <v>Rural2025July</v>
      </c>
      <c r="L452" s="2">
        <v>103.18970053559116</v>
      </c>
    </row>
    <row r="453" spans="1:12" x14ac:dyDescent="0.25">
      <c r="A453" s="1" t="s">
        <v>11</v>
      </c>
      <c r="B453" s="1">
        <v>2025</v>
      </c>
      <c r="C453" s="1" t="s">
        <v>19</v>
      </c>
      <c r="D453" s="1" t="s">
        <v>7</v>
      </c>
      <c r="E453" s="1">
        <v>103.37699394999369</v>
      </c>
      <c r="G453" t="s">
        <v>11</v>
      </c>
      <c r="H453">
        <v>2025</v>
      </c>
      <c r="I453" t="s">
        <v>19</v>
      </c>
      <c r="J453" t="s">
        <v>7</v>
      </c>
      <c r="K453" t="str">
        <f t="shared" si="7"/>
        <v>Urban2025July</v>
      </c>
      <c r="L453" s="2">
        <v>103.37699394999369</v>
      </c>
    </row>
    <row r="454" spans="1:12" x14ac:dyDescent="0.25">
      <c r="A454" s="1" t="s">
        <v>11</v>
      </c>
      <c r="B454" s="1">
        <v>2025</v>
      </c>
      <c r="C454" s="1" t="s">
        <v>19</v>
      </c>
      <c r="D454" s="1" t="s">
        <v>8</v>
      </c>
      <c r="E454" s="1">
        <v>103.29089545599909</v>
      </c>
      <c r="G454" t="s">
        <v>11</v>
      </c>
      <c r="H454">
        <v>2025</v>
      </c>
      <c r="I454" t="s">
        <v>19</v>
      </c>
      <c r="J454" t="s">
        <v>8</v>
      </c>
      <c r="K454" t="str">
        <f t="shared" si="7"/>
        <v>Combined2025July</v>
      </c>
      <c r="L454" s="2">
        <v>103.29089545599909</v>
      </c>
    </row>
    <row r="455" spans="1:12" x14ac:dyDescent="0.25">
      <c r="A455" s="1" t="s">
        <v>11</v>
      </c>
      <c r="B455" s="1">
        <v>2025</v>
      </c>
      <c r="C455" s="1" t="s">
        <v>20</v>
      </c>
      <c r="D455" s="1" t="s">
        <v>6</v>
      </c>
      <c r="E455" s="1">
        <v>103.76413712764152</v>
      </c>
      <c r="G455" t="s">
        <v>11</v>
      </c>
      <c r="H455">
        <v>2025</v>
      </c>
      <c r="I455" t="s">
        <v>20</v>
      </c>
      <c r="J455" t="s">
        <v>6</v>
      </c>
      <c r="K455" t="str">
        <f t="shared" si="7"/>
        <v>Rural2025August</v>
      </c>
      <c r="L455" s="2">
        <v>103.76413712764152</v>
      </c>
    </row>
    <row r="456" spans="1:12" x14ac:dyDescent="0.25">
      <c r="A456" s="1" t="s">
        <v>11</v>
      </c>
      <c r="B456" s="1">
        <v>2025</v>
      </c>
      <c r="C456" s="1" t="s">
        <v>20</v>
      </c>
      <c r="D456" s="1" t="s">
        <v>7</v>
      </c>
      <c r="E456" s="1">
        <v>103.74942779335446</v>
      </c>
      <c r="G456" t="s">
        <v>11</v>
      </c>
      <c r="H456">
        <v>2025</v>
      </c>
      <c r="I456" t="s">
        <v>20</v>
      </c>
      <c r="J456" t="s">
        <v>7</v>
      </c>
      <c r="K456" t="str">
        <f t="shared" si="7"/>
        <v>Urban2025August</v>
      </c>
      <c r="L456" s="2">
        <v>103.74942779335446</v>
      </c>
    </row>
    <row r="457" spans="1:12" x14ac:dyDescent="0.25">
      <c r="A457" s="1" t="s">
        <v>11</v>
      </c>
      <c r="B457" s="1">
        <v>2025</v>
      </c>
      <c r="C457" s="1" t="s">
        <v>20</v>
      </c>
      <c r="D457" s="1" t="s">
        <v>8</v>
      </c>
      <c r="E457" s="1">
        <v>103.76494852030505</v>
      </c>
      <c r="G457" t="s">
        <v>11</v>
      </c>
      <c r="H457">
        <v>2025</v>
      </c>
      <c r="I457" t="s">
        <v>20</v>
      </c>
      <c r="J457" t="s">
        <v>8</v>
      </c>
      <c r="K457" t="str">
        <f t="shared" si="7"/>
        <v>Combined2025August</v>
      </c>
      <c r="L457" s="2">
        <v>103.76494852030505</v>
      </c>
    </row>
    <row r="458" spans="1:12" x14ac:dyDescent="0.25">
      <c r="A458" s="1" t="s">
        <v>11</v>
      </c>
      <c r="B458" s="1">
        <v>2025</v>
      </c>
      <c r="C458" s="1" t="s">
        <v>21</v>
      </c>
      <c r="D458" s="1" t="s">
        <v>6</v>
      </c>
      <c r="E458" s="1">
        <v>103.81635863600974</v>
      </c>
      <c r="G458" t="s">
        <v>11</v>
      </c>
      <c r="H458">
        <v>2025</v>
      </c>
      <c r="I458" t="s">
        <v>21</v>
      </c>
      <c r="J458" t="s">
        <v>6</v>
      </c>
      <c r="K458" t="str">
        <f t="shared" si="7"/>
        <v>Rural2025September</v>
      </c>
      <c r="L458" s="2">
        <v>103.81635863600974</v>
      </c>
    </row>
    <row r="459" spans="1:12" x14ac:dyDescent="0.25">
      <c r="A459" s="1" t="s">
        <v>11</v>
      </c>
      <c r="B459" s="1">
        <v>2025</v>
      </c>
      <c r="C459" s="1" t="s">
        <v>21</v>
      </c>
      <c r="D459" s="1" t="s">
        <v>7</v>
      </c>
      <c r="E459" s="1">
        <v>103.69622295858863</v>
      </c>
      <c r="G459" t="s">
        <v>11</v>
      </c>
      <c r="H459">
        <v>2025</v>
      </c>
      <c r="I459" t="s">
        <v>21</v>
      </c>
      <c r="J459" t="s">
        <v>7</v>
      </c>
      <c r="K459" t="str">
        <f t="shared" si="7"/>
        <v>Urban2025September</v>
      </c>
      <c r="L459" s="2">
        <v>103.69622295858863</v>
      </c>
    </row>
    <row r="460" spans="1:12" x14ac:dyDescent="0.25">
      <c r="A460" s="1" t="s">
        <v>11</v>
      </c>
      <c r="B460" s="1">
        <v>2025</v>
      </c>
      <c r="C460" s="1" t="s">
        <v>21</v>
      </c>
      <c r="D460" s="1" t="s">
        <v>8</v>
      </c>
      <c r="E460" s="1">
        <v>103.76494852030505</v>
      </c>
      <c r="G460" t="s">
        <v>11</v>
      </c>
      <c r="H460">
        <v>2025</v>
      </c>
      <c r="I460" t="s">
        <v>21</v>
      </c>
      <c r="J460" t="s">
        <v>8</v>
      </c>
      <c r="K460" t="str">
        <f t="shared" si="7"/>
        <v>Combined2025September</v>
      </c>
      <c r="L460" s="2">
        <v>103.76494852030505</v>
      </c>
    </row>
    <row r="461" spans="1:12" x14ac:dyDescent="0.25">
      <c r="A461" s="1" t="s">
        <v>11</v>
      </c>
      <c r="B461" s="1">
        <v>2025</v>
      </c>
      <c r="C461" s="1" t="s">
        <v>22</v>
      </c>
      <c r="D461" s="1" t="s">
        <v>6</v>
      </c>
      <c r="E461" s="1">
        <v>103.92080165274616</v>
      </c>
      <c r="G461" t="s">
        <v>11</v>
      </c>
      <c r="H461">
        <v>2025</v>
      </c>
      <c r="I461" t="s">
        <v>22</v>
      </c>
      <c r="J461" t="s">
        <v>6</v>
      </c>
      <c r="K461" t="str">
        <f t="shared" si="7"/>
        <v>Rural2025October</v>
      </c>
      <c r="L461" s="2">
        <v>103.92080165274616</v>
      </c>
    </row>
    <row r="462" spans="1:12" x14ac:dyDescent="0.25">
      <c r="A462" s="1" t="s">
        <v>11</v>
      </c>
      <c r="B462" s="1">
        <v>2025</v>
      </c>
      <c r="C462" s="1" t="s">
        <v>22</v>
      </c>
      <c r="D462" s="1" t="s">
        <v>7</v>
      </c>
      <c r="E462" s="1">
        <v>103.96224713241774</v>
      </c>
      <c r="G462" t="s">
        <v>11</v>
      </c>
      <c r="H462">
        <v>2025</v>
      </c>
      <c r="I462" t="s">
        <v>22</v>
      </c>
      <c r="J462" t="s">
        <v>7</v>
      </c>
      <c r="K462" t="str">
        <f t="shared" si="7"/>
        <v>Urban2025October</v>
      </c>
      <c r="L462" s="2">
        <v>103.96224713241774</v>
      </c>
    </row>
    <row r="463" spans="1:12" x14ac:dyDescent="0.25">
      <c r="A463" s="1" t="s">
        <v>11</v>
      </c>
      <c r="B463" s="1">
        <v>2025</v>
      </c>
      <c r="C463" s="1" t="s">
        <v>22</v>
      </c>
      <c r="D463" s="1" t="s">
        <v>8</v>
      </c>
      <c r="E463" s="1">
        <v>103.92296620840705</v>
      </c>
      <c r="G463" t="s">
        <v>11</v>
      </c>
      <c r="H463">
        <v>2025</v>
      </c>
      <c r="I463" t="s">
        <v>22</v>
      </c>
      <c r="J463" t="s">
        <v>8</v>
      </c>
      <c r="K463" t="str">
        <f t="shared" si="7"/>
        <v>Combined2025October</v>
      </c>
      <c r="L463" s="2">
        <v>103.92296620840705</v>
      </c>
    </row>
    <row r="464" spans="1:12" x14ac:dyDescent="0.25">
      <c r="A464" s="1" t="s">
        <v>11</v>
      </c>
      <c r="B464" s="1">
        <v>2025</v>
      </c>
      <c r="C464" s="1" t="s">
        <v>23</v>
      </c>
      <c r="D464" s="1" t="s">
        <v>6</v>
      </c>
      <c r="E464" s="1">
        <v>104.23413070295545</v>
      </c>
      <c r="G464" t="s">
        <v>11</v>
      </c>
      <c r="H464">
        <v>2025</v>
      </c>
      <c r="I464" t="s">
        <v>23</v>
      </c>
      <c r="J464" t="s">
        <v>6</v>
      </c>
      <c r="K464" t="str">
        <f t="shared" si="7"/>
        <v>Rural2025November</v>
      </c>
      <c r="L464" s="2">
        <v>104.23413070295545</v>
      </c>
    </row>
    <row r="465" spans="1:12" x14ac:dyDescent="0.25">
      <c r="A465" s="1" t="s">
        <v>11</v>
      </c>
      <c r="B465" s="1">
        <v>2025</v>
      </c>
      <c r="C465" s="1" t="s">
        <v>23</v>
      </c>
      <c r="D465" s="1" t="s">
        <v>7</v>
      </c>
      <c r="E465" s="1">
        <v>104.22827130624685</v>
      </c>
      <c r="G465" t="s">
        <v>11</v>
      </c>
      <c r="H465">
        <v>2025</v>
      </c>
      <c r="I465" t="s">
        <v>23</v>
      </c>
      <c r="J465" t="s">
        <v>7</v>
      </c>
      <c r="K465" t="str">
        <f t="shared" si="7"/>
        <v>Urban2025November</v>
      </c>
      <c r="L465" s="2">
        <v>104.22827130624685</v>
      </c>
    </row>
    <row r="466" spans="1:12" x14ac:dyDescent="0.25">
      <c r="A466" s="1" t="s">
        <v>11</v>
      </c>
      <c r="B466" s="1">
        <v>2025</v>
      </c>
      <c r="C466" s="1" t="s">
        <v>23</v>
      </c>
      <c r="D466" s="1" t="s">
        <v>8</v>
      </c>
      <c r="E466" s="1">
        <v>104.23900158461102</v>
      </c>
      <c r="G466" t="s">
        <v>11</v>
      </c>
      <c r="H466">
        <v>2025</v>
      </c>
      <c r="I466" t="s">
        <v>23</v>
      </c>
      <c r="J466" t="s">
        <v>8</v>
      </c>
      <c r="K466" t="str">
        <f t="shared" si="7"/>
        <v>Combined2025November</v>
      </c>
      <c r="L466" s="2">
        <v>104.23900158461102</v>
      </c>
    </row>
    <row r="467" spans="1:12" x14ac:dyDescent="0.25">
      <c r="A467" s="1" t="s">
        <v>11</v>
      </c>
      <c r="B467" s="1">
        <v>2025</v>
      </c>
      <c r="C467" s="1" t="s">
        <v>24</v>
      </c>
      <c r="D467" s="1" t="s">
        <v>6</v>
      </c>
      <c r="E467" s="1">
        <v>104.3907952280601</v>
      </c>
      <c r="G467" t="s">
        <v>11</v>
      </c>
      <c r="H467">
        <v>2025</v>
      </c>
      <c r="I467" t="s">
        <v>24</v>
      </c>
      <c r="J467" t="s">
        <v>6</v>
      </c>
      <c r="K467" t="str">
        <f t="shared" si="7"/>
        <v>Rural2025December</v>
      </c>
      <c r="L467" s="2">
        <v>104.3907952280601</v>
      </c>
    </row>
    <row r="468" spans="1:12" x14ac:dyDescent="0.25">
      <c r="A468" s="1" t="s">
        <v>11</v>
      </c>
      <c r="B468" s="1">
        <v>2025</v>
      </c>
      <c r="C468" s="1" t="s">
        <v>24</v>
      </c>
      <c r="D468" s="1" t="s">
        <v>7</v>
      </c>
      <c r="E468" s="1">
        <v>104.22827130624685</v>
      </c>
      <c r="G468" t="s">
        <v>11</v>
      </c>
      <c r="H468">
        <v>2025</v>
      </c>
      <c r="I468" t="s">
        <v>24</v>
      </c>
      <c r="J468" t="s">
        <v>7</v>
      </c>
      <c r="K468" t="str">
        <f t="shared" si="7"/>
        <v>Urban2025December</v>
      </c>
      <c r="L468" s="2">
        <v>104.22827130624685</v>
      </c>
    </row>
    <row r="469" spans="1:12" x14ac:dyDescent="0.25">
      <c r="A469" s="1" t="s">
        <v>11</v>
      </c>
      <c r="B469" s="1">
        <v>2025</v>
      </c>
      <c r="C469" s="1" t="s">
        <v>24</v>
      </c>
      <c r="D469" s="1" t="s">
        <v>8</v>
      </c>
      <c r="E469" s="1">
        <v>104.29167414731168</v>
      </c>
      <c r="G469" t="s">
        <v>11</v>
      </c>
      <c r="H469">
        <v>2025</v>
      </c>
      <c r="I469" t="s">
        <v>24</v>
      </c>
      <c r="J469" t="s">
        <v>8</v>
      </c>
      <c r="K469" t="str">
        <f t="shared" si="7"/>
        <v>Combined2025December</v>
      </c>
      <c r="L469" s="2">
        <v>104.29167414731168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69"/>
  <sheetViews>
    <sheetView topLeftCell="A429" workbookViewId="0">
      <selection activeCell="L2" sqref="L2:L469"/>
    </sheetView>
  </sheetViews>
  <sheetFormatPr defaultRowHeight="15" x14ac:dyDescent="0.25"/>
  <cols>
    <col min="1" max="1" width="7.28515625" bestFit="1" customWidth="1"/>
    <col min="2" max="2" width="10.85546875" bestFit="1" customWidth="1"/>
    <col min="3" max="3" width="8.85546875" bestFit="1" customWidth="1"/>
    <col min="4" max="4" width="11.42578125" bestFit="1" customWidth="1"/>
    <col min="5" max="5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H1" t="s">
        <v>0</v>
      </c>
      <c r="I1" t="s">
        <v>1</v>
      </c>
      <c r="J1" t="s">
        <v>2</v>
      </c>
      <c r="K1" t="s">
        <v>43</v>
      </c>
      <c r="M1" t="s">
        <v>44</v>
      </c>
    </row>
    <row r="2" spans="1:14" x14ac:dyDescent="0.25">
      <c r="A2" s="1">
        <v>2013</v>
      </c>
      <c r="B2" s="1" t="s">
        <v>10</v>
      </c>
      <c r="C2" s="1" t="s">
        <v>11</v>
      </c>
      <c r="D2" s="1" t="s">
        <v>6</v>
      </c>
      <c r="E2" s="1">
        <v>54.883219999999994</v>
      </c>
      <c r="H2">
        <v>2013</v>
      </c>
      <c r="I2" t="s">
        <v>10</v>
      </c>
      <c r="J2" t="s">
        <v>11</v>
      </c>
      <c r="K2" t="s">
        <v>6</v>
      </c>
      <c r="L2" t="str">
        <f>CONCATENATE(H2,I2,K2)</f>
        <v>2013JanuaryRural</v>
      </c>
      <c r="M2">
        <v>54.883219999999994</v>
      </c>
      <c r="N2">
        <v>54.9</v>
      </c>
    </row>
    <row r="3" spans="1:14" x14ac:dyDescent="0.25">
      <c r="A3" s="1">
        <v>2013</v>
      </c>
      <c r="B3" s="1" t="s">
        <v>10</v>
      </c>
      <c r="C3" s="1" t="s">
        <v>11</v>
      </c>
      <c r="D3" s="1" t="s">
        <v>7</v>
      </c>
      <c r="E3" s="1">
        <v>55.328000000000003</v>
      </c>
      <c r="H3">
        <v>2013</v>
      </c>
      <c r="I3" t="s">
        <v>10</v>
      </c>
      <c r="J3" t="s">
        <v>11</v>
      </c>
      <c r="K3" t="s">
        <v>7</v>
      </c>
      <c r="L3" t="str">
        <f t="shared" ref="L3:L66" si="0">CONCATENATE(H3,I3,K3)</f>
        <v>2013JanuaryUrban</v>
      </c>
      <c r="M3">
        <v>55.328000000000003</v>
      </c>
      <c r="N3">
        <v>55.3</v>
      </c>
    </row>
    <row r="4" spans="1:14" x14ac:dyDescent="0.25">
      <c r="A4" s="1">
        <v>2013</v>
      </c>
      <c r="B4" s="1" t="s">
        <v>10</v>
      </c>
      <c r="C4" s="1" t="s">
        <v>11</v>
      </c>
      <c r="D4" s="1" t="s">
        <v>8</v>
      </c>
      <c r="E4" s="1">
        <v>55.092819999999989</v>
      </c>
      <c r="H4">
        <v>2013</v>
      </c>
      <c r="I4" t="s">
        <v>10</v>
      </c>
      <c r="J4" t="s">
        <v>11</v>
      </c>
      <c r="K4" t="s">
        <v>8</v>
      </c>
      <c r="L4" t="str">
        <f t="shared" si="0"/>
        <v>2013JanuaryCombined</v>
      </c>
      <c r="M4">
        <v>55.092819999999989</v>
      </c>
      <c r="N4">
        <v>55.1</v>
      </c>
    </row>
    <row r="5" spans="1:14" x14ac:dyDescent="0.25">
      <c r="A5" s="1">
        <v>2013</v>
      </c>
      <c r="B5" s="1" t="s">
        <v>14</v>
      </c>
      <c r="C5" s="1" t="s">
        <v>11</v>
      </c>
      <c r="D5" s="1" t="s">
        <v>6</v>
      </c>
      <c r="E5" s="1">
        <v>55.248759999999997</v>
      </c>
      <c r="H5">
        <v>2013</v>
      </c>
      <c r="I5" t="s">
        <v>14</v>
      </c>
      <c r="J5" t="s">
        <v>11</v>
      </c>
      <c r="K5" t="s">
        <v>6</v>
      </c>
      <c r="L5" t="str">
        <f t="shared" si="0"/>
        <v>2013FebruaryRural</v>
      </c>
      <c r="M5">
        <v>55.248759999999997</v>
      </c>
      <c r="N5">
        <v>55.2</v>
      </c>
    </row>
    <row r="6" spans="1:14" x14ac:dyDescent="0.25">
      <c r="A6" s="1">
        <v>2013</v>
      </c>
      <c r="B6" s="1" t="s">
        <v>14</v>
      </c>
      <c r="C6" s="1" t="s">
        <v>11</v>
      </c>
      <c r="D6" s="1" t="s">
        <v>7</v>
      </c>
      <c r="E6" s="1">
        <v>55.700400000000002</v>
      </c>
      <c r="H6">
        <v>2013</v>
      </c>
      <c r="I6" t="s">
        <v>14</v>
      </c>
      <c r="J6" t="s">
        <v>11</v>
      </c>
      <c r="K6" t="s">
        <v>7</v>
      </c>
      <c r="L6" t="str">
        <f t="shared" si="0"/>
        <v>2013FebruaryUrban</v>
      </c>
      <c r="M6">
        <v>55.700400000000002</v>
      </c>
      <c r="N6">
        <v>55.7</v>
      </c>
    </row>
    <row r="7" spans="1:14" x14ac:dyDescent="0.25">
      <c r="A7" s="1">
        <v>2013</v>
      </c>
      <c r="B7" s="1" t="s">
        <v>14</v>
      </c>
      <c r="C7" s="1" t="s">
        <v>11</v>
      </c>
      <c r="D7" s="1" t="s">
        <v>8</v>
      </c>
      <c r="E7" s="1">
        <v>55.46150999999999</v>
      </c>
      <c r="H7">
        <v>2013</v>
      </c>
      <c r="I7" t="s">
        <v>14</v>
      </c>
      <c r="J7" t="s">
        <v>11</v>
      </c>
      <c r="K7" t="s">
        <v>8</v>
      </c>
      <c r="L7" t="str">
        <f t="shared" si="0"/>
        <v>2013FebruaryCombined</v>
      </c>
      <c r="M7">
        <v>55.46150999999999</v>
      </c>
      <c r="N7">
        <v>55.5</v>
      </c>
    </row>
    <row r="8" spans="1:14" x14ac:dyDescent="0.25">
      <c r="A8" s="1">
        <v>2013</v>
      </c>
      <c r="B8" s="1" t="s">
        <v>15</v>
      </c>
      <c r="C8" s="1" t="s">
        <v>11</v>
      </c>
      <c r="D8" s="1" t="s">
        <v>6</v>
      </c>
      <c r="E8" s="1">
        <v>55.353200000000001</v>
      </c>
      <c r="H8">
        <v>2013</v>
      </c>
      <c r="I8" t="s">
        <v>15</v>
      </c>
      <c r="J8" t="s">
        <v>11</v>
      </c>
      <c r="K8" t="s">
        <v>6</v>
      </c>
      <c r="L8" t="str">
        <f t="shared" si="0"/>
        <v>2013MarchRural</v>
      </c>
      <c r="M8">
        <v>55.353200000000001</v>
      </c>
      <c r="N8">
        <v>55.4</v>
      </c>
    </row>
    <row r="9" spans="1:14" x14ac:dyDescent="0.25">
      <c r="A9" s="1">
        <v>2013</v>
      </c>
      <c r="B9" s="1" t="s">
        <v>15</v>
      </c>
      <c r="C9" s="1" t="s">
        <v>11</v>
      </c>
      <c r="D9" s="1" t="s">
        <v>7</v>
      </c>
      <c r="E9" s="1">
        <v>55.86</v>
      </c>
      <c r="H9">
        <v>2013</v>
      </c>
      <c r="I9" t="s">
        <v>15</v>
      </c>
      <c r="J9" t="s">
        <v>11</v>
      </c>
      <c r="K9" t="s">
        <v>7</v>
      </c>
      <c r="L9" t="str">
        <f t="shared" si="0"/>
        <v>2013MarchUrban</v>
      </c>
      <c r="M9">
        <v>55.86</v>
      </c>
      <c r="N9">
        <v>55.9</v>
      </c>
    </row>
    <row r="10" spans="1:14" x14ac:dyDescent="0.25">
      <c r="A10" s="1">
        <v>2013</v>
      </c>
      <c r="B10" s="1" t="s">
        <v>15</v>
      </c>
      <c r="C10" s="1" t="s">
        <v>11</v>
      </c>
      <c r="D10" s="1" t="s">
        <v>8</v>
      </c>
      <c r="E10" s="1">
        <v>55.566849999999995</v>
      </c>
      <c r="H10">
        <v>2013</v>
      </c>
      <c r="I10" t="s">
        <v>15</v>
      </c>
      <c r="J10" t="s">
        <v>11</v>
      </c>
      <c r="K10" t="s">
        <v>8</v>
      </c>
      <c r="L10" t="str">
        <f t="shared" si="0"/>
        <v>2013MarchCombined</v>
      </c>
      <c r="M10">
        <v>55.566849999999995</v>
      </c>
      <c r="N10">
        <v>55.6</v>
      </c>
    </row>
    <row r="11" spans="1:14" x14ac:dyDescent="0.25">
      <c r="A11" s="1">
        <v>2013</v>
      </c>
      <c r="B11" s="1" t="s">
        <v>16</v>
      </c>
      <c r="C11" s="1" t="s">
        <v>11</v>
      </c>
      <c r="D11" s="1" t="s">
        <v>6</v>
      </c>
      <c r="E11" s="1">
        <v>55.562080000000002</v>
      </c>
      <c r="H11">
        <v>2013</v>
      </c>
      <c r="I11" t="s">
        <v>16</v>
      </c>
      <c r="J11" t="s">
        <v>11</v>
      </c>
      <c r="K11" t="s">
        <v>6</v>
      </c>
      <c r="L11" t="str">
        <f t="shared" si="0"/>
        <v>2013AprilRural</v>
      </c>
      <c r="M11">
        <v>55.562080000000002</v>
      </c>
      <c r="N11">
        <v>55.6</v>
      </c>
    </row>
    <row r="12" spans="1:14" x14ac:dyDescent="0.25">
      <c r="A12" s="1">
        <v>2013</v>
      </c>
      <c r="B12" s="1" t="s">
        <v>16</v>
      </c>
      <c r="C12" s="1" t="s">
        <v>11</v>
      </c>
      <c r="D12" s="1" t="s">
        <v>7</v>
      </c>
      <c r="E12" s="1">
        <v>56.232400000000005</v>
      </c>
      <c r="H12">
        <v>2013</v>
      </c>
      <c r="I12" t="s">
        <v>16</v>
      </c>
      <c r="J12" t="s">
        <v>11</v>
      </c>
      <c r="K12" t="s">
        <v>7</v>
      </c>
      <c r="L12" t="str">
        <f t="shared" si="0"/>
        <v>2013AprilUrban</v>
      </c>
      <c r="M12">
        <v>56.232400000000005</v>
      </c>
      <c r="N12">
        <v>56.2</v>
      </c>
    </row>
    <row r="13" spans="1:14" x14ac:dyDescent="0.25">
      <c r="A13" s="1">
        <v>2013</v>
      </c>
      <c r="B13" s="1" t="s">
        <v>16</v>
      </c>
      <c r="C13" s="1" t="s">
        <v>11</v>
      </c>
      <c r="D13" s="1" t="s">
        <v>8</v>
      </c>
      <c r="E13" s="1">
        <v>55.88286999999999</v>
      </c>
      <c r="H13">
        <v>2013</v>
      </c>
      <c r="I13" t="s">
        <v>16</v>
      </c>
      <c r="J13" t="s">
        <v>11</v>
      </c>
      <c r="K13" t="s">
        <v>8</v>
      </c>
      <c r="L13" t="str">
        <f t="shared" si="0"/>
        <v>2013AprilCombined</v>
      </c>
      <c r="M13">
        <v>55.88286999999999</v>
      </c>
      <c r="N13">
        <v>55.9</v>
      </c>
    </row>
    <row r="14" spans="1:14" x14ac:dyDescent="0.25">
      <c r="A14" s="1">
        <v>2013</v>
      </c>
      <c r="B14" s="1" t="s">
        <v>17</v>
      </c>
      <c r="C14" s="1" t="s">
        <v>11</v>
      </c>
      <c r="D14" s="1" t="s">
        <v>6</v>
      </c>
      <c r="E14" s="1">
        <v>55.979840000000003</v>
      </c>
      <c r="H14">
        <v>2013</v>
      </c>
      <c r="I14" t="s">
        <v>17</v>
      </c>
      <c r="J14" t="s">
        <v>11</v>
      </c>
      <c r="K14" t="s">
        <v>6</v>
      </c>
      <c r="L14" t="str">
        <f t="shared" si="0"/>
        <v>2013MayRural</v>
      </c>
      <c r="M14">
        <v>55.979840000000003</v>
      </c>
      <c r="N14">
        <v>56</v>
      </c>
    </row>
    <row r="15" spans="1:14" x14ac:dyDescent="0.25">
      <c r="A15" s="1">
        <v>2013</v>
      </c>
      <c r="B15" s="1" t="s">
        <v>17</v>
      </c>
      <c r="C15" s="1" t="s">
        <v>11</v>
      </c>
      <c r="D15" s="1" t="s">
        <v>7</v>
      </c>
      <c r="E15" s="1">
        <v>56.711199999999998</v>
      </c>
      <c r="H15">
        <v>2013</v>
      </c>
      <c r="I15" t="s">
        <v>17</v>
      </c>
      <c r="J15" t="s">
        <v>11</v>
      </c>
      <c r="K15" t="s">
        <v>7</v>
      </c>
      <c r="L15" t="str">
        <f t="shared" si="0"/>
        <v>2013MayUrban</v>
      </c>
      <c r="M15">
        <v>56.711199999999998</v>
      </c>
      <c r="N15">
        <v>56.7</v>
      </c>
    </row>
    <row r="16" spans="1:14" x14ac:dyDescent="0.25">
      <c r="A16" s="1">
        <v>2013</v>
      </c>
      <c r="B16" s="1" t="s">
        <v>17</v>
      </c>
      <c r="C16" s="1" t="s">
        <v>11</v>
      </c>
      <c r="D16" s="1" t="s">
        <v>8</v>
      </c>
      <c r="E16" s="1">
        <v>56.304229999999997</v>
      </c>
      <c r="H16">
        <v>2013</v>
      </c>
      <c r="I16" t="s">
        <v>17</v>
      </c>
      <c r="J16" t="s">
        <v>11</v>
      </c>
      <c r="K16" t="s">
        <v>8</v>
      </c>
      <c r="L16" t="str">
        <f t="shared" si="0"/>
        <v>2013MayCombined</v>
      </c>
      <c r="M16">
        <v>56.304229999999997</v>
      </c>
      <c r="N16">
        <v>56.3</v>
      </c>
    </row>
    <row r="17" spans="1:14" x14ac:dyDescent="0.25">
      <c r="A17" s="1">
        <v>2013</v>
      </c>
      <c r="B17" s="1" t="s">
        <v>18</v>
      </c>
      <c r="C17" s="1" t="s">
        <v>11</v>
      </c>
      <c r="D17" s="1" t="s">
        <v>6</v>
      </c>
      <c r="E17" s="1">
        <v>56.867580000000004</v>
      </c>
      <c r="H17">
        <v>2013</v>
      </c>
      <c r="I17" t="s">
        <v>18</v>
      </c>
      <c r="J17" t="s">
        <v>11</v>
      </c>
      <c r="K17" t="s">
        <v>6</v>
      </c>
      <c r="L17" t="str">
        <f t="shared" si="0"/>
        <v>2013JuneRural</v>
      </c>
      <c r="M17">
        <v>56.867580000000004</v>
      </c>
      <c r="N17">
        <v>56.9</v>
      </c>
    </row>
    <row r="18" spans="1:14" x14ac:dyDescent="0.25">
      <c r="A18" s="1">
        <v>2013</v>
      </c>
      <c r="B18" s="1" t="s">
        <v>18</v>
      </c>
      <c r="C18" s="1" t="s">
        <v>11</v>
      </c>
      <c r="D18" s="1" t="s">
        <v>7</v>
      </c>
      <c r="E18" s="1">
        <v>58.360400000000006</v>
      </c>
      <c r="H18">
        <v>2013</v>
      </c>
      <c r="I18" t="s">
        <v>18</v>
      </c>
      <c r="J18" t="s">
        <v>11</v>
      </c>
      <c r="K18" t="s">
        <v>7</v>
      </c>
      <c r="L18" t="str">
        <f t="shared" si="0"/>
        <v>2013JuneUrban</v>
      </c>
      <c r="M18">
        <v>58.360400000000006</v>
      </c>
      <c r="N18">
        <v>58.4</v>
      </c>
    </row>
    <row r="19" spans="1:14" x14ac:dyDescent="0.25">
      <c r="A19" s="1">
        <v>2013</v>
      </c>
      <c r="B19" s="1" t="s">
        <v>18</v>
      </c>
      <c r="C19" s="1" t="s">
        <v>11</v>
      </c>
      <c r="D19" s="1" t="s">
        <v>8</v>
      </c>
      <c r="E19" s="1">
        <v>57.56830999999999</v>
      </c>
      <c r="H19">
        <v>2013</v>
      </c>
      <c r="I19" t="s">
        <v>18</v>
      </c>
      <c r="J19" t="s">
        <v>11</v>
      </c>
      <c r="K19" t="s">
        <v>8</v>
      </c>
      <c r="L19" t="str">
        <f t="shared" si="0"/>
        <v>2013JuneCombined</v>
      </c>
      <c r="M19">
        <v>57.56830999999999</v>
      </c>
      <c r="N19">
        <v>57.6</v>
      </c>
    </row>
    <row r="20" spans="1:14" x14ac:dyDescent="0.25">
      <c r="A20" s="1">
        <v>2013</v>
      </c>
      <c r="B20" s="1" t="s">
        <v>19</v>
      </c>
      <c r="C20" s="1" t="s">
        <v>11</v>
      </c>
      <c r="D20" s="1" t="s">
        <v>6</v>
      </c>
      <c r="E20" s="1">
        <v>57.807540000000003</v>
      </c>
      <c r="H20">
        <v>2013</v>
      </c>
      <c r="I20" t="s">
        <v>19</v>
      </c>
      <c r="J20" t="s">
        <v>11</v>
      </c>
      <c r="K20" t="s">
        <v>6</v>
      </c>
      <c r="L20" t="str">
        <f t="shared" si="0"/>
        <v>2013JulyRural</v>
      </c>
      <c r="M20">
        <v>57.807540000000003</v>
      </c>
      <c r="N20">
        <v>57.8</v>
      </c>
    </row>
    <row r="21" spans="1:14" x14ac:dyDescent="0.25">
      <c r="A21" s="1">
        <v>2013</v>
      </c>
      <c r="B21" s="1" t="s">
        <v>19</v>
      </c>
      <c r="C21" s="1" t="s">
        <v>11</v>
      </c>
      <c r="D21" s="1" t="s">
        <v>7</v>
      </c>
      <c r="E21" s="1">
        <v>59.264800000000008</v>
      </c>
      <c r="H21">
        <v>2013</v>
      </c>
      <c r="I21" t="s">
        <v>19</v>
      </c>
      <c r="J21" t="s">
        <v>11</v>
      </c>
      <c r="K21" t="s">
        <v>7</v>
      </c>
      <c r="L21" t="str">
        <f t="shared" si="0"/>
        <v>2013JulyUrban</v>
      </c>
      <c r="M21">
        <v>59.264800000000008</v>
      </c>
      <c r="N21">
        <v>59.3</v>
      </c>
    </row>
    <row r="22" spans="1:14" x14ac:dyDescent="0.25">
      <c r="A22" s="1">
        <v>2013</v>
      </c>
      <c r="B22" s="1" t="s">
        <v>19</v>
      </c>
      <c r="C22" s="1" t="s">
        <v>11</v>
      </c>
      <c r="D22" s="1" t="s">
        <v>8</v>
      </c>
      <c r="E22" s="1">
        <v>58.463699999999996</v>
      </c>
      <c r="H22">
        <v>2013</v>
      </c>
      <c r="I22" t="s">
        <v>19</v>
      </c>
      <c r="J22" t="s">
        <v>11</v>
      </c>
      <c r="K22" t="s">
        <v>8</v>
      </c>
      <c r="L22" t="str">
        <f t="shared" si="0"/>
        <v>2013JulyCombined</v>
      </c>
      <c r="M22">
        <v>58.463699999999996</v>
      </c>
      <c r="N22">
        <v>58.5</v>
      </c>
    </row>
    <row r="23" spans="1:14" x14ac:dyDescent="0.25">
      <c r="A23" s="1">
        <v>2013</v>
      </c>
      <c r="B23" s="1" t="s">
        <v>20</v>
      </c>
      <c r="C23" s="1" t="s">
        <v>11</v>
      </c>
      <c r="D23" s="1" t="s">
        <v>6</v>
      </c>
      <c r="E23" s="1">
        <v>58.538619999999995</v>
      </c>
      <c r="H23">
        <v>2013</v>
      </c>
      <c r="I23" t="s">
        <v>20</v>
      </c>
      <c r="J23" t="s">
        <v>11</v>
      </c>
      <c r="K23" t="s">
        <v>6</v>
      </c>
      <c r="L23" t="str">
        <f t="shared" si="0"/>
        <v>2013AugustRural</v>
      </c>
      <c r="M23">
        <v>58.538619999999995</v>
      </c>
      <c r="N23">
        <v>58.5</v>
      </c>
    </row>
    <row r="24" spans="1:14" x14ac:dyDescent="0.25">
      <c r="A24" s="1">
        <v>2013</v>
      </c>
      <c r="B24" s="1" t="s">
        <v>20</v>
      </c>
      <c r="C24" s="1" t="s">
        <v>11</v>
      </c>
      <c r="D24" s="1" t="s">
        <v>7</v>
      </c>
      <c r="E24" s="1">
        <v>59.956400000000002</v>
      </c>
      <c r="H24">
        <v>2013</v>
      </c>
      <c r="I24" t="s">
        <v>20</v>
      </c>
      <c r="J24" t="s">
        <v>11</v>
      </c>
      <c r="K24" t="s">
        <v>7</v>
      </c>
      <c r="L24" t="str">
        <f t="shared" si="0"/>
        <v>2013AugustUrban</v>
      </c>
      <c r="M24">
        <v>59.956400000000002</v>
      </c>
      <c r="N24">
        <v>60</v>
      </c>
    </row>
    <row r="25" spans="1:14" x14ac:dyDescent="0.25">
      <c r="A25" s="1">
        <v>2013</v>
      </c>
      <c r="B25" s="1" t="s">
        <v>20</v>
      </c>
      <c r="C25" s="1" t="s">
        <v>11</v>
      </c>
      <c r="D25" s="1" t="s">
        <v>8</v>
      </c>
      <c r="E25" s="1">
        <v>59.201079999999997</v>
      </c>
      <c r="H25">
        <v>2013</v>
      </c>
      <c r="I25" t="s">
        <v>20</v>
      </c>
      <c r="J25" t="s">
        <v>11</v>
      </c>
      <c r="K25" t="s">
        <v>8</v>
      </c>
      <c r="L25" t="str">
        <f t="shared" si="0"/>
        <v>2013AugustCombined</v>
      </c>
      <c r="M25">
        <v>59.201079999999997</v>
      </c>
      <c r="N25">
        <v>59.2</v>
      </c>
    </row>
    <row r="26" spans="1:14" x14ac:dyDescent="0.25">
      <c r="A26" s="1">
        <v>2013</v>
      </c>
      <c r="B26" s="1" t="s">
        <v>21</v>
      </c>
      <c r="C26" s="1" t="s">
        <v>11</v>
      </c>
      <c r="D26" s="1" t="s">
        <v>6</v>
      </c>
      <c r="E26" s="1">
        <v>59.635240000000003</v>
      </c>
      <c r="H26">
        <v>2013</v>
      </c>
      <c r="I26" t="s">
        <v>21</v>
      </c>
      <c r="J26" t="s">
        <v>11</v>
      </c>
      <c r="K26" t="s">
        <v>6</v>
      </c>
      <c r="L26" t="str">
        <f t="shared" si="0"/>
        <v>2013SeptemberRural</v>
      </c>
      <c r="M26">
        <v>59.635240000000003</v>
      </c>
      <c r="N26">
        <v>59.6</v>
      </c>
    </row>
    <row r="27" spans="1:14" x14ac:dyDescent="0.25">
      <c r="A27" s="1">
        <v>2013</v>
      </c>
      <c r="B27" s="1" t="s">
        <v>21</v>
      </c>
      <c r="C27" s="1" t="s">
        <v>11</v>
      </c>
      <c r="D27" s="1" t="s">
        <v>7</v>
      </c>
      <c r="E27" s="1">
        <v>60.222400000000007</v>
      </c>
      <c r="H27">
        <v>2013</v>
      </c>
      <c r="I27" t="s">
        <v>21</v>
      </c>
      <c r="J27" t="s">
        <v>11</v>
      </c>
      <c r="K27" t="s">
        <v>7</v>
      </c>
      <c r="L27" t="str">
        <f t="shared" si="0"/>
        <v>2013SeptemberUrban</v>
      </c>
      <c r="M27">
        <v>60.222400000000007</v>
      </c>
      <c r="N27">
        <v>60.2</v>
      </c>
    </row>
    <row r="28" spans="1:14" x14ac:dyDescent="0.25">
      <c r="A28" s="1">
        <v>2013</v>
      </c>
      <c r="B28" s="1" t="s">
        <v>21</v>
      </c>
      <c r="C28" s="1" t="s">
        <v>11</v>
      </c>
      <c r="D28" s="1" t="s">
        <v>8</v>
      </c>
      <c r="E28" s="1">
        <v>59.885789999999993</v>
      </c>
      <c r="H28">
        <v>2013</v>
      </c>
      <c r="I28" t="s">
        <v>21</v>
      </c>
      <c r="J28" t="s">
        <v>11</v>
      </c>
      <c r="K28" t="s">
        <v>8</v>
      </c>
      <c r="L28" t="str">
        <f t="shared" si="0"/>
        <v>2013SeptemberCombined</v>
      </c>
      <c r="M28">
        <v>59.885789999999993</v>
      </c>
      <c r="N28">
        <v>59.9</v>
      </c>
    </row>
    <row r="29" spans="1:14" x14ac:dyDescent="0.25">
      <c r="A29" s="1">
        <v>2013</v>
      </c>
      <c r="B29" s="1" t="s">
        <v>22</v>
      </c>
      <c r="C29" s="1" t="s">
        <v>11</v>
      </c>
      <c r="D29" s="1" t="s">
        <v>6</v>
      </c>
      <c r="E29" s="1">
        <v>60.314099999999996</v>
      </c>
      <c r="H29">
        <v>2013</v>
      </c>
      <c r="I29" t="s">
        <v>22</v>
      </c>
      <c r="J29" t="s">
        <v>11</v>
      </c>
      <c r="K29" t="s">
        <v>6</v>
      </c>
      <c r="L29" t="str">
        <f t="shared" si="0"/>
        <v>2013OctoberRural</v>
      </c>
      <c r="M29">
        <v>60.314099999999996</v>
      </c>
      <c r="N29">
        <v>60.3</v>
      </c>
    </row>
    <row r="30" spans="1:14" x14ac:dyDescent="0.25">
      <c r="A30" s="1">
        <v>2013</v>
      </c>
      <c r="B30" s="1" t="s">
        <v>22</v>
      </c>
      <c r="C30" s="1" t="s">
        <v>11</v>
      </c>
      <c r="D30" s="1" t="s">
        <v>7</v>
      </c>
      <c r="E30" s="1">
        <v>60.648000000000003</v>
      </c>
      <c r="H30">
        <v>2013</v>
      </c>
      <c r="I30" t="s">
        <v>22</v>
      </c>
      <c r="J30" t="s">
        <v>11</v>
      </c>
      <c r="K30" t="s">
        <v>7</v>
      </c>
      <c r="L30" t="str">
        <f t="shared" si="0"/>
        <v>2013OctoberUrban</v>
      </c>
      <c r="M30">
        <v>60.648000000000003</v>
      </c>
      <c r="N30">
        <v>60.6</v>
      </c>
    </row>
    <row r="31" spans="1:14" x14ac:dyDescent="0.25">
      <c r="A31" s="1">
        <v>2013</v>
      </c>
      <c r="B31" s="1" t="s">
        <v>22</v>
      </c>
      <c r="C31" s="1" t="s">
        <v>11</v>
      </c>
      <c r="D31" s="1" t="s">
        <v>8</v>
      </c>
      <c r="E31" s="1">
        <v>60.46515999999999</v>
      </c>
      <c r="H31">
        <v>2013</v>
      </c>
      <c r="I31" t="s">
        <v>22</v>
      </c>
      <c r="J31" t="s">
        <v>11</v>
      </c>
      <c r="K31" t="s">
        <v>8</v>
      </c>
      <c r="L31" t="str">
        <f t="shared" si="0"/>
        <v>2013OctoberCombined</v>
      </c>
      <c r="M31">
        <v>60.46515999999999</v>
      </c>
      <c r="N31">
        <v>60.5</v>
      </c>
    </row>
    <row r="32" spans="1:14" x14ac:dyDescent="0.25">
      <c r="A32" s="1">
        <v>2013</v>
      </c>
      <c r="B32" s="1" t="s">
        <v>23</v>
      </c>
      <c r="C32" s="1" t="s">
        <v>11</v>
      </c>
      <c r="D32" s="1" t="s">
        <v>6</v>
      </c>
      <c r="E32" s="1">
        <v>61.306280000000001</v>
      </c>
      <c r="H32">
        <v>2013</v>
      </c>
      <c r="I32" t="s">
        <v>23</v>
      </c>
      <c r="J32" t="s">
        <v>11</v>
      </c>
      <c r="K32" t="s">
        <v>6</v>
      </c>
      <c r="L32" t="str">
        <f t="shared" si="0"/>
        <v>2013NovemberRural</v>
      </c>
      <c r="M32">
        <v>61.306280000000001</v>
      </c>
      <c r="N32">
        <v>61.3</v>
      </c>
    </row>
    <row r="33" spans="1:14" x14ac:dyDescent="0.25">
      <c r="A33" s="1">
        <v>2013</v>
      </c>
      <c r="B33" s="1" t="s">
        <v>23</v>
      </c>
      <c r="C33" s="1" t="s">
        <v>11</v>
      </c>
      <c r="D33" s="1" t="s">
        <v>7</v>
      </c>
      <c r="E33" s="1">
        <v>61.180000000000007</v>
      </c>
      <c r="H33">
        <v>2013</v>
      </c>
      <c r="I33" t="s">
        <v>23</v>
      </c>
      <c r="J33" t="s">
        <v>11</v>
      </c>
      <c r="K33" t="s">
        <v>7</v>
      </c>
      <c r="L33" t="str">
        <f t="shared" si="0"/>
        <v>2013NovemberUrban</v>
      </c>
      <c r="M33">
        <v>61.180000000000007</v>
      </c>
      <c r="N33">
        <v>61.2</v>
      </c>
    </row>
    <row r="34" spans="1:14" x14ac:dyDescent="0.25">
      <c r="A34" s="1">
        <v>2013</v>
      </c>
      <c r="B34" s="1" t="s">
        <v>23</v>
      </c>
      <c r="C34" s="1" t="s">
        <v>11</v>
      </c>
      <c r="D34" s="1" t="s">
        <v>8</v>
      </c>
      <c r="E34" s="1">
        <v>61.255209999999991</v>
      </c>
      <c r="H34">
        <v>2013</v>
      </c>
      <c r="I34" t="s">
        <v>23</v>
      </c>
      <c r="J34" t="s">
        <v>11</v>
      </c>
      <c r="K34" t="s">
        <v>8</v>
      </c>
      <c r="L34" t="str">
        <f t="shared" si="0"/>
        <v>2013NovemberCombined</v>
      </c>
      <c r="M34">
        <v>61.255209999999991</v>
      </c>
      <c r="N34">
        <v>61.3</v>
      </c>
    </row>
    <row r="35" spans="1:14" x14ac:dyDescent="0.25">
      <c r="A35" s="1">
        <v>2013</v>
      </c>
      <c r="B35" s="1" t="s">
        <v>24</v>
      </c>
      <c r="C35" s="1" t="s">
        <v>11</v>
      </c>
      <c r="D35" s="1" t="s">
        <v>6</v>
      </c>
      <c r="E35" s="1">
        <v>60.314099999999996</v>
      </c>
      <c r="H35">
        <v>2013</v>
      </c>
      <c r="I35" t="s">
        <v>24</v>
      </c>
      <c r="J35" t="s">
        <v>11</v>
      </c>
      <c r="K35" t="s">
        <v>6</v>
      </c>
      <c r="L35" t="str">
        <f t="shared" si="0"/>
        <v>2013DecemberRural</v>
      </c>
      <c r="M35">
        <v>60.314099999999996</v>
      </c>
      <c r="N35">
        <v>60.3</v>
      </c>
    </row>
    <row r="36" spans="1:14" x14ac:dyDescent="0.25">
      <c r="A36" s="1">
        <v>2013</v>
      </c>
      <c r="B36" s="1" t="s">
        <v>24</v>
      </c>
      <c r="C36" s="1" t="s">
        <v>11</v>
      </c>
      <c r="D36" s="1" t="s">
        <v>7</v>
      </c>
      <c r="E36" s="1">
        <v>60.275600000000004</v>
      </c>
      <c r="H36">
        <v>2013</v>
      </c>
      <c r="I36" t="s">
        <v>24</v>
      </c>
      <c r="J36" t="s">
        <v>11</v>
      </c>
      <c r="K36" t="s">
        <v>7</v>
      </c>
      <c r="L36" t="str">
        <f t="shared" si="0"/>
        <v>2013DecemberUrban</v>
      </c>
      <c r="M36">
        <v>60.275600000000004</v>
      </c>
      <c r="N36">
        <v>60.3</v>
      </c>
    </row>
    <row r="37" spans="1:14" x14ac:dyDescent="0.25">
      <c r="A37" s="1">
        <v>2013</v>
      </c>
      <c r="B37" s="1" t="s">
        <v>24</v>
      </c>
      <c r="C37" s="1" t="s">
        <v>11</v>
      </c>
      <c r="D37" s="1" t="s">
        <v>8</v>
      </c>
      <c r="E37" s="1">
        <v>60.307149999999993</v>
      </c>
      <c r="H37">
        <v>2013</v>
      </c>
      <c r="I37" t="s">
        <v>24</v>
      </c>
      <c r="J37" t="s">
        <v>11</v>
      </c>
      <c r="K37" t="s">
        <v>8</v>
      </c>
      <c r="L37" t="str">
        <f t="shared" si="0"/>
        <v>2013DecemberCombined</v>
      </c>
      <c r="M37">
        <v>60.307149999999993</v>
      </c>
      <c r="N37">
        <v>60.3</v>
      </c>
    </row>
    <row r="38" spans="1:14" x14ac:dyDescent="0.25">
      <c r="A38" s="1">
        <v>2014</v>
      </c>
      <c r="B38" s="1" t="s">
        <v>10</v>
      </c>
      <c r="C38" s="1" t="s">
        <v>11</v>
      </c>
      <c r="D38" s="1" t="s">
        <v>6</v>
      </c>
      <c r="E38" s="1">
        <v>59.635240000000003</v>
      </c>
      <c r="H38">
        <v>2014</v>
      </c>
      <c r="I38" t="s">
        <v>10</v>
      </c>
      <c r="J38" t="s">
        <v>11</v>
      </c>
      <c r="K38" t="s">
        <v>6</v>
      </c>
      <c r="L38" t="str">
        <f t="shared" si="0"/>
        <v>2014JanuaryRural</v>
      </c>
      <c r="M38">
        <v>59.635240000000003</v>
      </c>
      <c r="N38">
        <v>59.6</v>
      </c>
    </row>
    <row r="39" spans="1:14" x14ac:dyDescent="0.25">
      <c r="A39" s="1">
        <v>2014</v>
      </c>
      <c r="B39" s="1" t="s">
        <v>10</v>
      </c>
      <c r="C39" s="1" t="s">
        <v>11</v>
      </c>
      <c r="D39" s="1" t="s">
        <v>7</v>
      </c>
      <c r="E39" s="1">
        <v>60.062800000000003</v>
      </c>
      <c r="H39">
        <v>2014</v>
      </c>
      <c r="I39" t="s">
        <v>10</v>
      </c>
      <c r="J39" t="s">
        <v>11</v>
      </c>
      <c r="K39" t="s">
        <v>7</v>
      </c>
      <c r="L39" t="str">
        <f t="shared" si="0"/>
        <v>2014JanuaryUrban</v>
      </c>
      <c r="M39">
        <v>60.062800000000003</v>
      </c>
      <c r="N39">
        <v>60.1</v>
      </c>
    </row>
    <row r="40" spans="1:14" x14ac:dyDescent="0.25">
      <c r="A40" s="1">
        <v>2014</v>
      </c>
      <c r="B40" s="1" t="s">
        <v>10</v>
      </c>
      <c r="C40" s="1" t="s">
        <v>11</v>
      </c>
      <c r="D40" s="1" t="s">
        <v>8</v>
      </c>
      <c r="E40" s="1">
        <v>59.833119999999994</v>
      </c>
      <c r="H40">
        <v>2014</v>
      </c>
      <c r="I40" t="s">
        <v>10</v>
      </c>
      <c r="J40" t="s">
        <v>11</v>
      </c>
      <c r="K40" t="s">
        <v>8</v>
      </c>
      <c r="L40" t="str">
        <f t="shared" si="0"/>
        <v>2014JanuaryCombined</v>
      </c>
      <c r="M40">
        <v>59.833119999999994</v>
      </c>
      <c r="N40">
        <v>59.8</v>
      </c>
    </row>
    <row r="41" spans="1:14" x14ac:dyDescent="0.25">
      <c r="A41" s="1">
        <v>2014</v>
      </c>
      <c r="B41" s="1" t="s">
        <v>14</v>
      </c>
      <c r="C41" s="1" t="s">
        <v>11</v>
      </c>
      <c r="D41" s="1" t="s">
        <v>6</v>
      </c>
      <c r="E41" s="1">
        <v>59.530799999999999</v>
      </c>
      <c r="H41">
        <v>2014</v>
      </c>
      <c r="I41" t="s">
        <v>14</v>
      </c>
      <c r="J41" t="s">
        <v>11</v>
      </c>
      <c r="K41" t="s">
        <v>6</v>
      </c>
      <c r="L41" t="str">
        <f t="shared" si="0"/>
        <v>2014FebruaryRural</v>
      </c>
      <c r="M41">
        <v>59.530799999999999</v>
      </c>
      <c r="N41">
        <v>59.5</v>
      </c>
    </row>
    <row r="42" spans="1:14" x14ac:dyDescent="0.25">
      <c r="A42" s="1">
        <v>2014</v>
      </c>
      <c r="B42" s="1" t="s">
        <v>14</v>
      </c>
      <c r="C42" s="1" t="s">
        <v>11</v>
      </c>
      <c r="D42" s="1" t="s">
        <v>7</v>
      </c>
      <c r="E42" s="1">
        <v>60.169200000000004</v>
      </c>
      <c r="H42">
        <v>2014</v>
      </c>
      <c r="I42" t="s">
        <v>14</v>
      </c>
      <c r="J42" t="s">
        <v>11</v>
      </c>
      <c r="K42" t="s">
        <v>7</v>
      </c>
      <c r="L42" t="str">
        <f t="shared" si="0"/>
        <v>2014FebruaryUrban</v>
      </c>
      <c r="M42">
        <v>60.169200000000004</v>
      </c>
      <c r="N42">
        <v>60.2</v>
      </c>
    </row>
    <row r="43" spans="1:14" x14ac:dyDescent="0.25">
      <c r="A43" s="1">
        <v>2014</v>
      </c>
      <c r="B43" s="1" t="s">
        <v>14</v>
      </c>
      <c r="C43" s="1" t="s">
        <v>11</v>
      </c>
      <c r="D43" s="1" t="s">
        <v>8</v>
      </c>
      <c r="E43" s="1">
        <v>59.833119999999994</v>
      </c>
      <c r="H43">
        <v>2014</v>
      </c>
      <c r="I43" t="s">
        <v>14</v>
      </c>
      <c r="J43" t="s">
        <v>11</v>
      </c>
      <c r="K43" t="s">
        <v>8</v>
      </c>
      <c r="L43" t="str">
        <f t="shared" si="0"/>
        <v>2014FebruaryCombined</v>
      </c>
      <c r="M43">
        <v>59.833119999999994</v>
      </c>
      <c r="N43">
        <v>59.8</v>
      </c>
    </row>
    <row r="44" spans="1:14" x14ac:dyDescent="0.25">
      <c r="A44" s="1">
        <v>2014</v>
      </c>
      <c r="B44" s="1" t="s">
        <v>15</v>
      </c>
      <c r="C44" s="1" t="s">
        <v>11</v>
      </c>
      <c r="D44" s="1" t="s">
        <v>6</v>
      </c>
      <c r="E44" s="1">
        <v>59.844119999999997</v>
      </c>
      <c r="H44">
        <v>2014</v>
      </c>
      <c r="I44" t="s">
        <v>15</v>
      </c>
      <c r="J44" t="s">
        <v>11</v>
      </c>
      <c r="K44" t="s">
        <v>6</v>
      </c>
      <c r="L44" t="str">
        <f t="shared" si="0"/>
        <v>2014MarchRural</v>
      </c>
      <c r="M44">
        <v>59.844119999999997</v>
      </c>
      <c r="N44">
        <v>59.8</v>
      </c>
    </row>
    <row r="45" spans="1:14" x14ac:dyDescent="0.25">
      <c r="A45" s="1">
        <v>2014</v>
      </c>
      <c r="B45" s="1" t="s">
        <v>15</v>
      </c>
      <c r="C45" s="1" t="s">
        <v>11</v>
      </c>
      <c r="D45" s="1" t="s">
        <v>7</v>
      </c>
      <c r="E45" s="1">
        <v>60.488400000000006</v>
      </c>
      <c r="H45">
        <v>2014</v>
      </c>
      <c r="I45" t="s">
        <v>15</v>
      </c>
      <c r="J45" t="s">
        <v>11</v>
      </c>
      <c r="K45" t="s">
        <v>7</v>
      </c>
      <c r="L45" t="str">
        <f t="shared" si="0"/>
        <v>2014MarchUrban</v>
      </c>
      <c r="M45">
        <v>60.488400000000006</v>
      </c>
      <c r="N45">
        <v>60.5</v>
      </c>
    </row>
    <row r="46" spans="1:14" x14ac:dyDescent="0.25">
      <c r="A46" s="1">
        <v>2014</v>
      </c>
      <c r="B46" s="1" t="s">
        <v>15</v>
      </c>
      <c r="C46" s="1" t="s">
        <v>11</v>
      </c>
      <c r="D46" s="1" t="s">
        <v>8</v>
      </c>
      <c r="E46" s="1">
        <v>60.149139999999996</v>
      </c>
      <c r="H46">
        <v>2014</v>
      </c>
      <c r="I46" t="s">
        <v>15</v>
      </c>
      <c r="J46" t="s">
        <v>11</v>
      </c>
      <c r="K46" t="s">
        <v>8</v>
      </c>
      <c r="L46" t="str">
        <f t="shared" si="0"/>
        <v>2014MarchCombined</v>
      </c>
      <c r="M46">
        <v>60.149139999999996</v>
      </c>
      <c r="N46">
        <v>60.1</v>
      </c>
    </row>
    <row r="47" spans="1:14" x14ac:dyDescent="0.25">
      <c r="A47" s="1">
        <v>2014</v>
      </c>
      <c r="B47" s="1" t="s">
        <v>16</v>
      </c>
      <c r="C47" s="1" t="s">
        <v>11</v>
      </c>
      <c r="D47" s="1" t="s">
        <v>6</v>
      </c>
      <c r="E47" s="1">
        <v>60.261880000000005</v>
      </c>
      <c r="H47">
        <v>2014</v>
      </c>
      <c r="I47" t="s">
        <v>16</v>
      </c>
      <c r="J47" t="s">
        <v>11</v>
      </c>
      <c r="K47" t="s">
        <v>6</v>
      </c>
      <c r="L47" t="str">
        <f t="shared" si="0"/>
        <v>2014AprilRural</v>
      </c>
      <c r="M47">
        <v>60.261880000000005</v>
      </c>
      <c r="N47">
        <v>60.3</v>
      </c>
    </row>
    <row r="48" spans="1:14" x14ac:dyDescent="0.25">
      <c r="A48" s="1">
        <v>2014</v>
      </c>
      <c r="B48" s="1" t="s">
        <v>16</v>
      </c>
      <c r="C48" s="1" t="s">
        <v>11</v>
      </c>
      <c r="D48" s="1" t="s">
        <v>7</v>
      </c>
      <c r="E48" s="1">
        <v>61.020400000000002</v>
      </c>
      <c r="H48">
        <v>2014</v>
      </c>
      <c r="I48" t="s">
        <v>16</v>
      </c>
      <c r="J48" t="s">
        <v>11</v>
      </c>
      <c r="K48" t="s">
        <v>7</v>
      </c>
      <c r="L48" t="str">
        <f t="shared" si="0"/>
        <v>2014AprilUrban</v>
      </c>
      <c r="M48">
        <v>61.020400000000002</v>
      </c>
      <c r="N48">
        <v>61</v>
      </c>
    </row>
    <row r="49" spans="1:14" x14ac:dyDescent="0.25">
      <c r="A49" s="1">
        <v>2014</v>
      </c>
      <c r="B49" s="1" t="s">
        <v>16</v>
      </c>
      <c r="C49" s="1" t="s">
        <v>11</v>
      </c>
      <c r="D49" s="1" t="s">
        <v>8</v>
      </c>
      <c r="E49" s="1">
        <v>60.623169999999988</v>
      </c>
      <c r="H49">
        <v>2014</v>
      </c>
      <c r="I49" t="s">
        <v>16</v>
      </c>
      <c r="J49" t="s">
        <v>11</v>
      </c>
      <c r="K49" t="s">
        <v>8</v>
      </c>
      <c r="L49" t="str">
        <f t="shared" si="0"/>
        <v>2014AprilCombined</v>
      </c>
      <c r="M49">
        <v>60.623169999999988</v>
      </c>
      <c r="N49">
        <v>60.6</v>
      </c>
    </row>
    <row r="50" spans="1:14" x14ac:dyDescent="0.25">
      <c r="A50" s="1">
        <v>2014</v>
      </c>
      <c r="B50" s="1" t="s">
        <v>17</v>
      </c>
      <c r="C50" s="1" t="s">
        <v>11</v>
      </c>
      <c r="D50" s="1" t="s">
        <v>6</v>
      </c>
      <c r="E50" s="1">
        <v>60.575200000000002</v>
      </c>
      <c r="H50">
        <v>2014</v>
      </c>
      <c r="I50" t="s">
        <v>17</v>
      </c>
      <c r="J50" t="s">
        <v>11</v>
      </c>
      <c r="K50" t="s">
        <v>6</v>
      </c>
      <c r="L50" t="str">
        <f t="shared" si="0"/>
        <v>2014MayRural</v>
      </c>
      <c r="M50">
        <v>60.575200000000002</v>
      </c>
      <c r="N50">
        <v>60.6</v>
      </c>
    </row>
    <row r="51" spans="1:14" x14ac:dyDescent="0.25">
      <c r="A51" s="1">
        <v>2014</v>
      </c>
      <c r="B51" s="1" t="s">
        <v>17</v>
      </c>
      <c r="C51" s="1" t="s">
        <v>11</v>
      </c>
      <c r="D51" s="1" t="s">
        <v>7</v>
      </c>
      <c r="E51" s="1">
        <v>61.499200000000002</v>
      </c>
      <c r="H51">
        <v>2014</v>
      </c>
      <c r="I51" t="s">
        <v>17</v>
      </c>
      <c r="J51" t="s">
        <v>11</v>
      </c>
      <c r="K51" t="s">
        <v>7</v>
      </c>
      <c r="L51" t="str">
        <f t="shared" si="0"/>
        <v>2014MayUrban</v>
      </c>
      <c r="M51">
        <v>61.499200000000002</v>
      </c>
      <c r="N51">
        <v>61.5</v>
      </c>
    </row>
    <row r="52" spans="1:14" x14ac:dyDescent="0.25">
      <c r="A52" s="1">
        <v>2014</v>
      </c>
      <c r="B52" s="1" t="s">
        <v>17</v>
      </c>
      <c r="C52" s="1" t="s">
        <v>11</v>
      </c>
      <c r="D52" s="1" t="s">
        <v>8</v>
      </c>
      <c r="E52" s="1">
        <v>60.991859999999996</v>
      </c>
      <c r="H52">
        <v>2014</v>
      </c>
      <c r="I52" t="s">
        <v>17</v>
      </c>
      <c r="J52" t="s">
        <v>11</v>
      </c>
      <c r="K52" t="s">
        <v>8</v>
      </c>
      <c r="L52" t="str">
        <f t="shared" si="0"/>
        <v>2014MayCombined</v>
      </c>
      <c r="M52">
        <v>60.991859999999996</v>
      </c>
      <c r="N52">
        <v>61</v>
      </c>
    </row>
    <row r="53" spans="1:14" x14ac:dyDescent="0.25">
      <c r="A53" s="1">
        <v>2014</v>
      </c>
      <c r="B53" s="1" t="s">
        <v>18</v>
      </c>
      <c r="C53" s="1" t="s">
        <v>11</v>
      </c>
      <c r="D53" s="1" t="s">
        <v>6</v>
      </c>
      <c r="E53" s="1">
        <v>61.0974</v>
      </c>
      <c r="H53">
        <v>2014</v>
      </c>
      <c r="I53" t="s">
        <v>18</v>
      </c>
      <c r="J53" t="s">
        <v>11</v>
      </c>
      <c r="K53" t="s">
        <v>6</v>
      </c>
      <c r="L53" t="str">
        <f t="shared" si="0"/>
        <v>2014JuneRural</v>
      </c>
      <c r="M53">
        <v>61.0974</v>
      </c>
      <c r="N53">
        <v>61.1</v>
      </c>
    </row>
    <row r="54" spans="1:14" x14ac:dyDescent="0.25">
      <c r="A54" s="1">
        <v>2014</v>
      </c>
      <c r="B54" s="1" t="s">
        <v>18</v>
      </c>
      <c r="C54" s="1" t="s">
        <v>11</v>
      </c>
      <c r="D54" s="1" t="s">
        <v>7</v>
      </c>
      <c r="E54" s="1">
        <v>61.924800000000005</v>
      </c>
      <c r="H54">
        <v>2014</v>
      </c>
      <c r="I54" t="s">
        <v>18</v>
      </c>
      <c r="J54" t="s">
        <v>11</v>
      </c>
      <c r="K54" t="s">
        <v>7</v>
      </c>
      <c r="L54" t="str">
        <f t="shared" si="0"/>
        <v>2014JuneUrban</v>
      </c>
      <c r="M54">
        <v>61.924800000000005</v>
      </c>
      <c r="N54">
        <v>61.9</v>
      </c>
    </row>
    <row r="55" spans="1:14" x14ac:dyDescent="0.25">
      <c r="A55" s="1">
        <v>2014</v>
      </c>
      <c r="B55" s="1" t="s">
        <v>18</v>
      </c>
      <c r="C55" s="1" t="s">
        <v>11</v>
      </c>
      <c r="D55" s="1" t="s">
        <v>8</v>
      </c>
      <c r="E55" s="1">
        <v>61.465889999999995</v>
      </c>
      <c r="H55">
        <v>2014</v>
      </c>
      <c r="I55" t="s">
        <v>18</v>
      </c>
      <c r="J55" t="s">
        <v>11</v>
      </c>
      <c r="K55" t="s">
        <v>8</v>
      </c>
      <c r="L55" t="str">
        <f t="shared" si="0"/>
        <v>2014JuneCombined</v>
      </c>
      <c r="M55">
        <v>61.465889999999995</v>
      </c>
      <c r="N55">
        <v>61.5</v>
      </c>
    </row>
    <row r="56" spans="1:14" x14ac:dyDescent="0.25">
      <c r="A56" s="1">
        <v>2014</v>
      </c>
      <c r="B56" s="1" t="s">
        <v>19</v>
      </c>
      <c r="C56" s="1" t="s">
        <v>11</v>
      </c>
      <c r="D56" s="1" t="s">
        <v>6</v>
      </c>
      <c r="E56" s="1">
        <v>62.402900000000002</v>
      </c>
      <c r="H56">
        <v>2014</v>
      </c>
      <c r="I56" t="s">
        <v>19</v>
      </c>
      <c r="J56" t="s">
        <v>11</v>
      </c>
      <c r="K56" t="s">
        <v>6</v>
      </c>
      <c r="L56" t="str">
        <f t="shared" si="0"/>
        <v>2014JulyRural</v>
      </c>
      <c r="M56">
        <v>62.402900000000002</v>
      </c>
      <c r="N56">
        <v>62.4</v>
      </c>
    </row>
    <row r="57" spans="1:14" x14ac:dyDescent="0.25">
      <c r="A57" s="1">
        <v>2014</v>
      </c>
      <c r="B57" s="1" t="s">
        <v>19</v>
      </c>
      <c r="C57" s="1" t="s">
        <v>11</v>
      </c>
      <c r="D57" s="1" t="s">
        <v>7</v>
      </c>
      <c r="E57" s="1">
        <v>63.254800000000003</v>
      </c>
      <c r="H57">
        <v>2014</v>
      </c>
      <c r="I57" t="s">
        <v>19</v>
      </c>
      <c r="J57" t="s">
        <v>11</v>
      </c>
      <c r="K57" t="s">
        <v>7</v>
      </c>
      <c r="L57" t="str">
        <f t="shared" si="0"/>
        <v>2014JulyUrban</v>
      </c>
      <c r="M57">
        <v>63.254800000000003</v>
      </c>
      <c r="N57">
        <v>63.3</v>
      </c>
    </row>
    <row r="58" spans="1:14" x14ac:dyDescent="0.25">
      <c r="A58" s="1">
        <v>2014</v>
      </c>
      <c r="B58" s="1" t="s">
        <v>19</v>
      </c>
      <c r="C58" s="1" t="s">
        <v>11</v>
      </c>
      <c r="D58" s="1" t="s">
        <v>8</v>
      </c>
      <c r="E58" s="1">
        <v>62.782639999999994</v>
      </c>
      <c r="H58">
        <v>2014</v>
      </c>
      <c r="I58" t="s">
        <v>19</v>
      </c>
      <c r="J58" t="s">
        <v>11</v>
      </c>
      <c r="K58" t="s">
        <v>8</v>
      </c>
      <c r="L58" t="str">
        <f t="shared" si="0"/>
        <v>2014JulyCombined</v>
      </c>
      <c r="M58">
        <v>62.782639999999994</v>
      </c>
      <c r="N58">
        <v>62.8</v>
      </c>
    </row>
    <row r="59" spans="1:14" x14ac:dyDescent="0.25">
      <c r="A59" s="1">
        <v>2014</v>
      </c>
      <c r="B59" s="1" t="s">
        <v>20</v>
      </c>
      <c r="C59" s="1" t="s">
        <v>11</v>
      </c>
      <c r="D59" s="1" t="s">
        <v>6</v>
      </c>
      <c r="E59" s="1">
        <v>63.029540000000004</v>
      </c>
      <c r="H59">
        <v>2014</v>
      </c>
      <c r="I59" t="s">
        <v>20</v>
      </c>
      <c r="J59" t="s">
        <v>11</v>
      </c>
      <c r="K59" t="s">
        <v>6</v>
      </c>
      <c r="L59" t="str">
        <f t="shared" si="0"/>
        <v>2014AugustRural</v>
      </c>
      <c r="M59">
        <v>63.029540000000004</v>
      </c>
      <c r="N59">
        <v>63</v>
      </c>
    </row>
    <row r="60" spans="1:14" x14ac:dyDescent="0.25">
      <c r="A60" s="1">
        <v>2014</v>
      </c>
      <c r="B60" s="1" t="s">
        <v>20</v>
      </c>
      <c r="C60" s="1" t="s">
        <v>11</v>
      </c>
      <c r="D60" s="1" t="s">
        <v>7</v>
      </c>
      <c r="E60" s="1">
        <v>63.786800000000007</v>
      </c>
      <c r="H60">
        <v>2014</v>
      </c>
      <c r="I60" t="s">
        <v>20</v>
      </c>
      <c r="J60" t="s">
        <v>11</v>
      </c>
      <c r="K60" t="s">
        <v>7</v>
      </c>
      <c r="L60" t="str">
        <f t="shared" si="0"/>
        <v>2014AugustUrban</v>
      </c>
      <c r="M60">
        <v>63.786800000000007</v>
      </c>
      <c r="N60">
        <v>63.8</v>
      </c>
    </row>
    <row r="61" spans="1:14" x14ac:dyDescent="0.25">
      <c r="A61" s="1">
        <v>2014</v>
      </c>
      <c r="B61" s="1" t="s">
        <v>20</v>
      </c>
      <c r="C61" s="1" t="s">
        <v>11</v>
      </c>
      <c r="D61" s="1" t="s">
        <v>8</v>
      </c>
      <c r="E61" s="1">
        <v>63.362009999999991</v>
      </c>
      <c r="H61">
        <v>2014</v>
      </c>
      <c r="I61" t="s">
        <v>20</v>
      </c>
      <c r="J61" t="s">
        <v>11</v>
      </c>
      <c r="K61" t="s">
        <v>8</v>
      </c>
      <c r="L61" t="str">
        <f t="shared" si="0"/>
        <v>2014AugustCombined</v>
      </c>
      <c r="M61">
        <v>63.362009999999991</v>
      </c>
      <c r="N61">
        <v>63.4</v>
      </c>
    </row>
    <row r="62" spans="1:14" x14ac:dyDescent="0.25">
      <c r="A62" s="1">
        <v>2014</v>
      </c>
      <c r="B62" s="1" t="s">
        <v>21</v>
      </c>
      <c r="C62" s="1" t="s">
        <v>11</v>
      </c>
      <c r="D62" s="1" t="s">
        <v>6</v>
      </c>
      <c r="E62" s="1">
        <v>63.133980000000001</v>
      </c>
      <c r="H62">
        <v>2014</v>
      </c>
      <c r="I62" t="s">
        <v>21</v>
      </c>
      <c r="J62" t="s">
        <v>11</v>
      </c>
      <c r="K62" t="s">
        <v>6</v>
      </c>
      <c r="L62" t="str">
        <f t="shared" si="0"/>
        <v>2014SeptemberRural</v>
      </c>
      <c r="M62">
        <v>63.133980000000001</v>
      </c>
      <c r="N62">
        <v>63.1</v>
      </c>
    </row>
    <row r="63" spans="1:14" x14ac:dyDescent="0.25">
      <c r="A63" s="1">
        <v>2014</v>
      </c>
      <c r="B63" s="1" t="s">
        <v>21</v>
      </c>
      <c r="C63" s="1" t="s">
        <v>11</v>
      </c>
      <c r="D63" s="1" t="s">
        <v>7</v>
      </c>
      <c r="E63" s="1">
        <v>63.414400000000008</v>
      </c>
      <c r="H63">
        <v>2014</v>
      </c>
      <c r="I63" t="s">
        <v>21</v>
      </c>
      <c r="J63" t="s">
        <v>11</v>
      </c>
      <c r="K63" t="s">
        <v>7</v>
      </c>
      <c r="L63" t="str">
        <f t="shared" si="0"/>
        <v>2014SeptemberUrban</v>
      </c>
      <c r="M63">
        <v>63.414400000000008</v>
      </c>
      <c r="N63">
        <v>63.4</v>
      </c>
    </row>
    <row r="64" spans="1:14" x14ac:dyDescent="0.25">
      <c r="A64" s="1">
        <v>2014</v>
      </c>
      <c r="B64" s="1" t="s">
        <v>21</v>
      </c>
      <c r="C64" s="1" t="s">
        <v>11</v>
      </c>
      <c r="D64" s="1" t="s">
        <v>8</v>
      </c>
      <c r="E64" s="1">
        <v>63.256669999999993</v>
      </c>
      <c r="H64">
        <v>2014</v>
      </c>
      <c r="I64" t="s">
        <v>21</v>
      </c>
      <c r="J64" t="s">
        <v>11</v>
      </c>
      <c r="K64" t="s">
        <v>8</v>
      </c>
      <c r="L64" t="str">
        <f t="shared" si="0"/>
        <v>2014SeptemberCombined</v>
      </c>
      <c r="M64">
        <v>63.256669999999993</v>
      </c>
      <c r="N64">
        <v>63.3</v>
      </c>
    </row>
    <row r="65" spans="1:14" x14ac:dyDescent="0.25">
      <c r="A65" s="1">
        <v>2014</v>
      </c>
      <c r="B65" s="1" t="s">
        <v>22</v>
      </c>
      <c r="C65" s="1" t="s">
        <v>11</v>
      </c>
      <c r="D65" s="1" t="s">
        <v>6</v>
      </c>
      <c r="E65" s="1">
        <v>63.186199999999999</v>
      </c>
      <c r="H65">
        <v>2014</v>
      </c>
      <c r="I65" t="s">
        <v>22</v>
      </c>
      <c r="J65" t="s">
        <v>11</v>
      </c>
      <c r="K65" t="s">
        <v>6</v>
      </c>
      <c r="L65" t="str">
        <f t="shared" si="0"/>
        <v>2014OctoberRural</v>
      </c>
      <c r="M65">
        <v>63.186199999999999</v>
      </c>
      <c r="N65">
        <v>63.2</v>
      </c>
    </row>
    <row r="66" spans="1:14" x14ac:dyDescent="0.25">
      <c r="A66" s="1">
        <v>2014</v>
      </c>
      <c r="B66" s="1" t="s">
        <v>22</v>
      </c>
      <c r="C66" s="1" t="s">
        <v>11</v>
      </c>
      <c r="D66" s="1" t="s">
        <v>7</v>
      </c>
      <c r="E66" s="1">
        <v>63.361200000000004</v>
      </c>
      <c r="H66">
        <v>2014</v>
      </c>
      <c r="I66" t="s">
        <v>22</v>
      </c>
      <c r="J66" t="s">
        <v>11</v>
      </c>
      <c r="K66" t="s">
        <v>7</v>
      </c>
      <c r="L66" t="str">
        <f t="shared" si="0"/>
        <v>2014OctoberUrban</v>
      </c>
      <c r="M66">
        <v>63.361200000000004</v>
      </c>
      <c r="N66">
        <v>63.4</v>
      </c>
    </row>
    <row r="67" spans="1:14" x14ac:dyDescent="0.25">
      <c r="A67" s="1">
        <v>2014</v>
      </c>
      <c r="B67" s="1" t="s">
        <v>22</v>
      </c>
      <c r="C67" s="1" t="s">
        <v>11</v>
      </c>
      <c r="D67" s="1" t="s">
        <v>8</v>
      </c>
      <c r="E67" s="1">
        <v>63.256669999999993</v>
      </c>
      <c r="H67">
        <v>2014</v>
      </c>
      <c r="I67" t="s">
        <v>22</v>
      </c>
      <c r="J67" t="s">
        <v>11</v>
      </c>
      <c r="K67" t="s">
        <v>8</v>
      </c>
      <c r="L67" t="str">
        <f t="shared" ref="L67:L130" si="1">CONCATENATE(H67,I67,K67)</f>
        <v>2014OctoberCombined</v>
      </c>
      <c r="M67">
        <v>63.256669999999993</v>
      </c>
      <c r="N67">
        <v>63.3</v>
      </c>
    </row>
    <row r="68" spans="1:14" x14ac:dyDescent="0.25">
      <c r="A68" s="1">
        <v>2014</v>
      </c>
      <c r="B68" s="1" t="s">
        <v>23</v>
      </c>
      <c r="C68" s="1" t="s">
        <v>11</v>
      </c>
      <c r="D68" s="1" t="s">
        <v>6</v>
      </c>
      <c r="E68" s="1">
        <v>63.238419999999998</v>
      </c>
      <c r="H68">
        <v>2014</v>
      </c>
      <c r="I68" t="s">
        <v>23</v>
      </c>
      <c r="J68" t="s">
        <v>11</v>
      </c>
      <c r="K68" t="s">
        <v>6</v>
      </c>
      <c r="L68" t="str">
        <f t="shared" si="1"/>
        <v>2014NovemberRural</v>
      </c>
      <c r="M68">
        <v>63.238419999999998</v>
      </c>
      <c r="N68">
        <v>63.2</v>
      </c>
    </row>
    <row r="69" spans="1:14" x14ac:dyDescent="0.25">
      <c r="A69" s="1">
        <v>2014</v>
      </c>
      <c r="B69" s="1" t="s">
        <v>23</v>
      </c>
      <c r="C69" s="1" t="s">
        <v>11</v>
      </c>
      <c r="D69" s="1" t="s">
        <v>7</v>
      </c>
      <c r="E69" s="1">
        <v>63.308000000000007</v>
      </c>
      <c r="H69">
        <v>2014</v>
      </c>
      <c r="I69" t="s">
        <v>23</v>
      </c>
      <c r="J69" t="s">
        <v>11</v>
      </c>
      <c r="K69" t="s">
        <v>7</v>
      </c>
      <c r="L69" t="str">
        <f t="shared" si="1"/>
        <v>2014NovemberUrban</v>
      </c>
      <c r="M69">
        <v>63.308000000000007</v>
      </c>
      <c r="N69">
        <v>63.3</v>
      </c>
    </row>
    <row r="70" spans="1:14" x14ac:dyDescent="0.25">
      <c r="A70" s="1">
        <v>2014</v>
      </c>
      <c r="B70" s="1" t="s">
        <v>23</v>
      </c>
      <c r="C70" s="1" t="s">
        <v>11</v>
      </c>
      <c r="D70" s="1" t="s">
        <v>8</v>
      </c>
      <c r="E70" s="1">
        <v>63.256669999999993</v>
      </c>
      <c r="H70">
        <v>2014</v>
      </c>
      <c r="I70" t="s">
        <v>23</v>
      </c>
      <c r="J70" t="s">
        <v>11</v>
      </c>
      <c r="K70" t="s">
        <v>8</v>
      </c>
      <c r="L70" t="str">
        <f t="shared" si="1"/>
        <v>2014NovemberCombined</v>
      </c>
      <c r="M70">
        <v>63.256669999999993</v>
      </c>
      <c r="N70">
        <v>63.3</v>
      </c>
    </row>
    <row r="71" spans="1:14" x14ac:dyDescent="0.25">
      <c r="A71" s="1">
        <v>2014</v>
      </c>
      <c r="B71" s="1" t="s">
        <v>24</v>
      </c>
      <c r="C71" s="1" t="s">
        <v>11</v>
      </c>
      <c r="D71" s="1" t="s">
        <v>6</v>
      </c>
      <c r="E71" s="1">
        <v>62.820659999999997</v>
      </c>
      <c r="H71">
        <v>2014</v>
      </c>
      <c r="I71" t="s">
        <v>24</v>
      </c>
      <c r="J71" t="s">
        <v>11</v>
      </c>
      <c r="K71" t="s">
        <v>6</v>
      </c>
      <c r="L71" t="str">
        <f t="shared" si="1"/>
        <v>2014DecemberRural</v>
      </c>
      <c r="M71">
        <v>62.820659999999997</v>
      </c>
      <c r="N71">
        <v>62.8</v>
      </c>
    </row>
    <row r="72" spans="1:14" x14ac:dyDescent="0.25">
      <c r="A72" s="1">
        <v>2014</v>
      </c>
      <c r="B72" s="1" t="s">
        <v>24</v>
      </c>
      <c r="C72" s="1" t="s">
        <v>11</v>
      </c>
      <c r="D72" s="1" t="s">
        <v>7</v>
      </c>
      <c r="E72" s="1">
        <v>62.988800000000005</v>
      </c>
      <c r="H72">
        <v>2014</v>
      </c>
      <c r="I72" t="s">
        <v>24</v>
      </c>
      <c r="J72" t="s">
        <v>11</v>
      </c>
      <c r="K72" t="s">
        <v>7</v>
      </c>
      <c r="L72" t="str">
        <f t="shared" si="1"/>
        <v>2014DecemberUrban</v>
      </c>
      <c r="M72">
        <v>62.988800000000005</v>
      </c>
      <c r="N72">
        <v>63</v>
      </c>
    </row>
    <row r="73" spans="1:14" x14ac:dyDescent="0.25">
      <c r="A73" s="1">
        <v>2014</v>
      </c>
      <c r="B73" s="1" t="s">
        <v>24</v>
      </c>
      <c r="C73" s="1" t="s">
        <v>11</v>
      </c>
      <c r="D73" s="1" t="s">
        <v>8</v>
      </c>
      <c r="E73" s="1">
        <v>62.887979999999999</v>
      </c>
      <c r="H73">
        <v>2014</v>
      </c>
      <c r="I73" t="s">
        <v>24</v>
      </c>
      <c r="J73" t="s">
        <v>11</v>
      </c>
      <c r="K73" t="s">
        <v>8</v>
      </c>
      <c r="L73" t="str">
        <f t="shared" si="1"/>
        <v>2014DecemberCombined</v>
      </c>
      <c r="M73">
        <v>62.887979999999999</v>
      </c>
      <c r="N73">
        <v>62.9</v>
      </c>
    </row>
    <row r="74" spans="1:14" x14ac:dyDescent="0.25">
      <c r="A74" s="1">
        <v>2015</v>
      </c>
      <c r="B74" s="1" t="s">
        <v>10</v>
      </c>
      <c r="C74" s="1" t="s">
        <v>11</v>
      </c>
      <c r="D74" s="1" t="s">
        <v>6</v>
      </c>
      <c r="E74" s="1">
        <v>62.820659999999997</v>
      </c>
      <c r="H74">
        <v>2015</v>
      </c>
      <c r="I74" t="s">
        <v>10</v>
      </c>
      <c r="J74" t="s">
        <v>11</v>
      </c>
      <c r="K74" t="s">
        <v>6</v>
      </c>
      <c r="L74" t="str">
        <f t="shared" si="1"/>
        <v>2015JanuaryRural</v>
      </c>
      <c r="M74">
        <v>62.820659999999997</v>
      </c>
      <c r="N74">
        <v>62.8</v>
      </c>
    </row>
    <row r="75" spans="1:14" x14ac:dyDescent="0.25">
      <c r="A75" s="1">
        <v>2015</v>
      </c>
      <c r="B75" s="1" t="s">
        <v>10</v>
      </c>
      <c r="C75" s="1" t="s">
        <v>11</v>
      </c>
      <c r="D75" s="1" t="s">
        <v>7</v>
      </c>
      <c r="E75" s="1">
        <v>63.042000000000002</v>
      </c>
      <c r="H75">
        <v>2015</v>
      </c>
      <c r="I75" t="s">
        <v>10</v>
      </c>
      <c r="J75" t="s">
        <v>11</v>
      </c>
      <c r="K75" t="s">
        <v>7</v>
      </c>
      <c r="L75" t="str">
        <f t="shared" si="1"/>
        <v>2015JanuaryUrban</v>
      </c>
      <c r="M75">
        <v>63.042000000000002</v>
      </c>
      <c r="N75">
        <v>63</v>
      </c>
    </row>
    <row r="76" spans="1:14" x14ac:dyDescent="0.25">
      <c r="A76" s="1">
        <v>2015</v>
      </c>
      <c r="B76" s="1" t="s">
        <v>10</v>
      </c>
      <c r="C76" s="1" t="s">
        <v>11</v>
      </c>
      <c r="D76" s="1" t="s">
        <v>8</v>
      </c>
      <c r="E76" s="1">
        <v>62.940649999999991</v>
      </c>
      <c r="H76">
        <v>2015</v>
      </c>
      <c r="I76" t="s">
        <v>10</v>
      </c>
      <c r="J76" t="s">
        <v>11</v>
      </c>
      <c r="K76" t="s">
        <v>8</v>
      </c>
      <c r="L76" t="str">
        <f t="shared" si="1"/>
        <v>2015JanuaryCombined</v>
      </c>
      <c r="M76">
        <v>62.940649999999991</v>
      </c>
      <c r="N76">
        <v>62.9</v>
      </c>
    </row>
    <row r="77" spans="1:14" x14ac:dyDescent="0.25">
      <c r="A77" s="1">
        <v>2015</v>
      </c>
      <c r="B77" s="1" t="s">
        <v>14</v>
      </c>
      <c r="C77" s="1" t="s">
        <v>11</v>
      </c>
      <c r="D77" s="1" t="s">
        <v>6</v>
      </c>
      <c r="E77" s="1">
        <v>62.977319999999999</v>
      </c>
      <c r="H77">
        <v>2015</v>
      </c>
      <c r="I77" t="s">
        <v>14</v>
      </c>
      <c r="J77" t="s">
        <v>11</v>
      </c>
      <c r="K77" t="s">
        <v>6</v>
      </c>
      <c r="L77" t="str">
        <f t="shared" si="1"/>
        <v>2015FebruaryRural</v>
      </c>
      <c r="M77">
        <v>62.977319999999999</v>
      </c>
      <c r="N77">
        <v>63</v>
      </c>
    </row>
    <row r="78" spans="1:14" x14ac:dyDescent="0.25">
      <c r="A78" s="1">
        <v>2015</v>
      </c>
      <c r="B78" s="1" t="s">
        <v>14</v>
      </c>
      <c r="C78" s="1" t="s">
        <v>11</v>
      </c>
      <c r="D78" s="1" t="s">
        <v>7</v>
      </c>
      <c r="E78" s="1">
        <v>63.148400000000002</v>
      </c>
      <c r="H78">
        <v>2015</v>
      </c>
      <c r="I78" t="s">
        <v>14</v>
      </c>
      <c r="J78" t="s">
        <v>11</v>
      </c>
      <c r="K78" t="s">
        <v>7</v>
      </c>
      <c r="L78" t="str">
        <f t="shared" si="1"/>
        <v>2015FebruaryUrban</v>
      </c>
      <c r="M78">
        <v>63.148400000000002</v>
      </c>
      <c r="N78">
        <v>63.1</v>
      </c>
    </row>
    <row r="79" spans="1:14" x14ac:dyDescent="0.25">
      <c r="A79" s="1">
        <v>2015</v>
      </c>
      <c r="B79" s="1" t="s">
        <v>14</v>
      </c>
      <c r="C79" s="1" t="s">
        <v>11</v>
      </c>
      <c r="D79" s="1" t="s">
        <v>8</v>
      </c>
      <c r="E79" s="1">
        <v>63.045989999999996</v>
      </c>
      <c r="H79">
        <v>2015</v>
      </c>
      <c r="I79" t="s">
        <v>14</v>
      </c>
      <c r="J79" t="s">
        <v>11</v>
      </c>
      <c r="K79" t="s">
        <v>8</v>
      </c>
      <c r="L79" t="str">
        <f t="shared" si="1"/>
        <v>2015FebruaryCombined</v>
      </c>
      <c r="M79">
        <v>63.045989999999996</v>
      </c>
      <c r="N79">
        <v>63</v>
      </c>
    </row>
    <row r="80" spans="1:14" x14ac:dyDescent="0.25">
      <c r="A80" s="1">
        <v>2015</v>
      </c>
      <c r="B80" s="1" t="s">
        <v>15</v>
      </c>
      <c r="C80" s="1" t="s">
        <v>11</v>
      </c>
      <c r="D80" s="1" t="s">
        <v>6</v>
      </c>
      <c r="E80" s="1">
        <v>63.238419999999998</v>
      </c>
      <c r="H80">
        <v>2015</v>
      </c>
      <c r="I80" t="s">
        <v>15</v>
      </c>
      <c r="J80" t="s">
        <v>11</v>
      </c>
      <c r="K80" t="s">
        <v>6</v>
      </c>
      <c r="L80" t="str">
        <f t="shared" si="1"/>
        <v>2015MarchRural</v>
      </c>
      <c r="M80">
        <v>63.238419999999998</v>
      </c>
      <c r="N80">
        <v>63.2</v>
      </c>
    </row>
    <row r="81" spans="1:14" x14ac:dyDescent="0.25">
      <c r="A81" s="1">
        <v>2015</v>
      </c>
      <c r="B81" s="1" t="s">
        <v>15</v>
      </c>
      <c r="C81" s="1" t="s">
        <v>11</v>
      </c>
      <c r="D81" s="1" t="s">
        <v>7</v>
      </c>
      <c r="E81" s="1">
        <v>63.361200000000004</v>
      </c>
      <c r="H81">
        <v>2015</v>
      </c>
      <c r="I81" t="s">
        <v>15</v>
      </c>
      <c r="J81" t="s">
        <v>11</v>
      </c>
      <c r="K81" t="s">
        <v>7</v>
      </c>
      <c r="L81" t="str">
        <f t="shared" si="1"/>
        <v>2015MarchUrban</v>
      </c>
      <c r="M81">
        <v>63.361200000000004</v>
      </c>
      <c r="N81">
        <v>63.4</v>
      </c>
    </row>
    <row r="82" spans="1:14" x14ac:dyDescent="0.25">
      <c r="A82" s="1">
        <v>2015</v>
      </c>
      <c r="B82" s="1" t="s">
        <v>15</v>
      </c>
      <c r="C82" s="1" t="s">
        <v>11</v>
      </c>
      <c r="D82" s="1" t="s">
        <v>8</v>
      </c>
      <c r="E82" s="1">
        <v>63.309339999999992</v>
      </c>
      <c r="H82">
        <v>2015</v>
      </c>
      <c r="I82" t="s">
        <v>15</v>
      </c>
      <c r="J82" t="s">
        <v>11</v>
      </c>
      <c r="K82" t="s">
        <v>8</v>
      </c>
      <c r="L82" t="str">
        <f t="shared" si="1"/>
        <v>2015MarchCombined</v>
      </c>
      <c r="M82">
        <v>63.309339999999992</v>
      </c>
      <c r="N82">
        <v>63.3</v>
      </c>
    </row>
    <row r="83" spans="1:14" x14ac:dyDescent="0.25">
      <c r="A83" s="1">
        <v>2015</v>
      </c>
      <c r="B83" s="1" t="s">
        <v>16</v>
      </c>
      <c r="C83" s="1" t="s">
        <v>11</v>
      </c>
      <c r="D83" s="1" t="s">
        <v>6</v>
      </c>
      <c r="E83" s="1">
        <v>63.447299999999998</v>
      </c>
      <c r="H83">
        <v>2015</v>
      </c>
      <c r="I83" t="s">
        <v>16</v>
      </c>
      <c r="J83" t="s">
        <v>11</v>
      </c>
      <c r="K83" t="s">
        <v>6</v>
      </c>
      <c r="L83" t="str">
        <f t="shared" si="1"/>
        <v>2015AprilRural</v>
      </c>
      <c r="M83">
        <v>63.447299999999998</v>
      </c>
      <c r="N83">
        <v>63.4</v>
      </c>
    </row>
    <row r="84" spans="1:14" x14ac:dyDescent="0.25">
      <c r="A84" s="1">
        <v>2015</v>
      </c>
      <c r="B84" s="1" t="s">
        <v>16</v>
      </c>
      <c r="C84" s="1" t="s">
        <v>11</v>
      </c>
      <c r="D84" s="1" t="s">
        <v>7</v>
      </c>
      <c r="E84" s="1">
        <v>63.680400000000006</v>
      </c>
      <c r="H84">
        <v>2015</v>
      </c>
      <c r="I84" t="s">
        <v>16</v>
      </c>
      <c r="J84" t="s">
        <v>11</v>
      </c>
      <c r="K84" t="s">
        <v>7</v>
      </c>
      <c r="L84" t="str">
        <f t="shared" si="1"/>
        <v>2015AprilUrban</v>
      </c>
      <c r="M84">
        <v>63.680400000000006</v>
      </c>
      <c r="N84">
        <v>63.7</v>
      </c>
    </row>
    <row r="85" spans="1:14" x14ac:dyDescent="0.25">
      <c r="A85" s="1">
        <v>2015</v>
      </c>
      <c r="B85" s="1" t="s">
        <v>16</v>
      </c>
      <c r="C85" s="1" t="s">
        <v>11</v>
      </c>
      <c r="D85" s="1" t="s">
        <v>8</v>
      </c>
      <c r="E85" s="1">
        <v>63.572689999999994</v>
      </c>
      <c r="H85">
        <v>2015</v>
      </c>
      <c r="I85" t="s">
        <v>16</v>
      </c>
      <c r="J85" t="s">
        <v>11</v>
      </c>
      <c r="K85" t="s">
        <v>8</v>
      </c>
      <c r="L85" t="str">
        <f t="shared" si="1"/>
        <v>2015AprilCombined</v>
      </c>
      <c r="M85">
        <v>63.572689999999994</v>
      </c>
      <c r="N85">
        <v>63.6</v>
      </c>
    </row>
    <row r="86" spans="1:14" x14ac:dyDescent="0.25">
      <c r="A86" s="1">
        <v>2015</v>
      </c>
      <c r="B86" s="1" t="s">
        <v>17</v>
      </c>
      <c r="C86" s="1" t="s">
        <v>11</v>
      </c>
      <c r="D86" s="1" t="s">
        <v>6</v>
      </c>
      <c r="E86" s="1">
        <v>63.917280000000005</v>
      </c>
      <c r="H86">
        <v>2015</v>
      </c>
      <c r="I86" t="s">
        <v>17</v>
      </c>
      <c r="J86" t="s">
        <v>11</v>
      </c>
      <c r="K86" t="s">
        <v>6</v>
      </c>
      <c r="L86" t="str">
        <f t="shared" si="1"/>
        <v>2015MayRural</v>
      </c>
      <c r="M86">
        <v>63.917280000000005</v>
      </c>
      <c r="N86">
        <v>63.9</v>
      </c>
    </row>
    <row r="87" spans="1:14" x14ac:dyDescent="0.25">
      <c r="A87" s="1">
        <v>2015</v>
      </c>
      <c r="B87" s="1" t="s">
        <v>17</v>
      </c>
      <c r="C87" s="1" t="s">
        <v>11</v>
      </c>
      <c r="D87" s="1" t="s">
        <v>7</v>
      </c>
      <c r="E87" s="1">
        <v>64.212400000000002</v>
      </c>
      <c r="H87">
        <v>2015</v>
      </c>
      <c r="I87" t="s">
        <v>17</v>
      </c>
      <c r="J87" t="s">
        <v>11</v>
      </c>
      <c r="K87" t="s">
        <v>7</v>
      </c>
      <c r="L87" t="str">
        <f t="shared" si="1"/>
        <v>2015MayUrban</v>
      </c>
      <c r="M87">
        <v>64.212400000000002</v>
      </c>
      <c r="N87">
        <v>64.2</v>
      </c>
    </row>
    <row r="88" spans="1:14" x14ac:dyDescent="0.25">
      <c r="A88" s="1">
        <v>2015</v>
      </c>
      <c r="B88" s="1" t="s">
        <v>17</v>
      </c>
      <c r="C88" s="1" t="s">
        <v>11</v>
      </c>
      <c r="D88" s="1" t="s">
        <v>8</v>
      </c>
      <c r="E88" s="1">
        <v>64.046719999999993</v>
      </c>
      <c r="H88">
        <v>2015</v>
      </c>
      <c r="I88" t="s">
        <v>17</v>
      </c>
      <c r="J88" t="s">
        <v>11</v>
      </c>
      <c r="K88" t="s">
        <v>8</v>
      </c>
      <c r="L88" t="str">
        <f t="shared" si="1"/>
        <v>2015MayCombined</v>
      </c>
      <c r="M88">
        <v>64.046719999999993</v>
      </c>
      <c r="N88">
        <v>64</v>
      </c>
    </row>
    <row r="89" spans="1:14" x14ac:dyDescent="0.25">
      <c r="A89" s="1">
        <v>2015</v>
      </c>
      <c r="B89" s="1" t="s">
        <v>18</v>
      </c>
      <c r="C89" s="1" t="s">
        <v>11</v>
      </c>
      <c r="D89" s="1" t="s">
        <v>6</v>
      </c>
      <c r="E89" s="1">
        <v>64.805019999999999</v>
      </c>
      <c r="H89">
        <v>2015</v>
      </c>
      <c r="I89" t="s">
        <v>18</v>
      </c>
      <c r="J89" t="s">
        <v>11</v>
      </c>
      <c r="K89" t="s">
        <v>6</v>
      </c>
      <c r="L89" t="str">
        <f t="shared" si="1"/>
        <v>2015JuneRural</v>
      </c>
      <c r="M89">
        <v>64.805019999999999</v>
      </c>
      <c r="N89">
        <v>64.8</v>
      </c>
    </row>
    <row r="90" spans="1:14" x14ac:dyDescent="0.25">
      <c r="A90" s="1">
        <v>2015</v>
      </c>
      <c r="B90" s="1" t="s">
        <v>18</v>
      </c>
      <c r="C90" s="1" t="s">
        <v>11</v>
      </c>
      <c r="D90" s="1" t="s">
        <v>7</v>
      </c>
      <c r="E90" s="1">
        <v>64.744399999999999</v>
      </c>
      <c r="H90">
        <v>2015</v>
      </c>
      <c r="I90" t="s">
        <v>18</v>
      </c>
      <c r="J90" t="s">
        <v>11</v>
      </c>
      <c r="K90" t="s">
        <v>7</v>
      </c>
      <c r="L90" t="str">
        <f t="shared" si="1"/>
        <v>2015JuneUrban</v>
      </c>
      <c r="M90">
        <v>64.744399999999999</v>
      </c>
      <c r="N90">
        <v>64.7</v>
      </c>
    </row>
    <row r="91" spans="1:14" x14ac:dyDescent="0.25">
      <c r="A91" s="1">
        <v>2015</v>
      </c>
      <c r="B91" s="1" t="s">
        <v>18</v>
      </c>
      <c r="C91" s="1" t="s">
        <v>11</v>
      </c>
      <c r="D91" s="1" t="s">
        <v>8</v>
      </c>
      <c r="E91" s="1">
        <v>64.784099999999995</v>
      </c>
      <c r="H91">
        <v>2015</v>
      </c>
      <c r="I91" t="s">
        <v>18</v>
      </c>
      <c r="J91" t="s">
        <v>11</v>
      </c>
      <c r="K91" t="s">
        <v>8</v>
      </c>
      <c r="L91" t="str">
        <f t="shared" si="1"/>
        <v>2015JuneCombined</v>
      </c>
      <c r="M91">
        <v>64.784099999999995</v>
      </c>
      <c r="N91">
        <v>64.8</v>
      </c>
    </row>
    <row r="92" spans="1:14" x14ac:dyDescent="0.25">
      <c r="A92" s="1">
        <v>2015</v>
      </c>
      <c r="B92" s="1" t="s">
        <v>19</v>
      </c>
      <c r="C92" s="1" t="s">
        <v>11</v>
      </c>
      <c r="D92" s="1" t="s">
        <v>6</v>
      </c>
      <c r="E92" s="1">
        <v>65.118340000000003</v>
      </c>
      <c r="H92">
        <v>2015</v>
      </c>
      <c r="I92" t="s">
        <v>19</v>
      </c>
      <c r="J92" t="s">
        <v>11</v>
      </c>
      <c r="K92" t="s">
        <v>6</v>
      </c>
      <c r="L92" t="str">
        <f t="shared" si="1"/>
        <v>2015JulyRural</v>
      </c>
      <c r="M92">
        <v>65.118340000000003</v>
      </c>
      <c r="N92">
        <v>65.099999999999994</v>
      </c>
    </row>
    <row r="93" spans="1:14" x14ac:dyDescent="0.25">
      <c r="A93" s="1">
        <v>2015</v>
      </c>
      <c r="B93" s="1" t="s">
        <v>19</v>
      </c>
      <c r="C93" s="1" t="s">
        <v>11</v>
      </c>
      <c r="D93" s="1" t="s">
        <v>7</v>
      </c>
      <c r="E93" s="1">
        <v>65.116800000000012</v>
      </c>
      <c r="H93">
        <v>2015</v>
      </c>
      <c r="I93" t="s">
        <v>19</v>
      </c>
      <c r="J93" t="s">
        <v>11</v>
      </c>
      <c r="K93" t="s">
        <v>7</v>
      </c>
      <c r="L93" t="str">
        <f t="shared" si="1"/>
        <v>2015JulyUrban</v>
      </c>
      <c r="M93">
        <v>65.116800000000012</v>
      </c>
      <c r="N93">
        <v>65.099999999999994</v>
      </c>
    </row>
    <row r="94" spans="1:14" x14ac:dyDescent="0.25">
      <c r="A94" s="1">
        <v>2015</v>
      </c>
      <c r="B94" s="1" t="s">
        <v>19</v>
      </c>
      <c r="C94" s="1" t="s">
        <v>11</v>
      </c>
      <c r="D94" s="1" t="s">
        <v>8</v>
      </c>
      <c r="E94" s="1">
        <v>65.10011999999999</v>
      </c>
      <c r="H94">
        <v>2015</v>
      </c>
      <c r="I94" t="s">
        <v>19</v>
      </c>
      <c r="J94" t="s">
        <v>11</v>
      </c>
      <c r="K94" t="s">
        <v>8</v>
      </c>
      <c r="L94" t="str">
        <f t="shared" si="1"/>
        <v>2015JulyCombined</v>
      </c>
      <c r="M94">
        <v>65.10011999999999</v>
      </c>
      <c r="N94">
        <v>65.099999999999994</v>
      </c>
    </row>
    <row r="95" spans="1:14" x14ac:dyDescent="0.25">
      <c r="A95" s="1">
        <v>2015</v>
      </c>
      <c r="B95" s="1" t="s">
        <v>20</v>
      </c>
      <c r="C95" s="1" t="s">
        <v>11</v>
      </c>
      <c r="D95" s="1" t="s">
        <v>6</v>
      </c>
      <c r="E95" s="1">
        <v>65.849419999999995</v>
      </c>
      <c r="H95">
        <v>2015</v>
      </c>
      <c r="I95" t="s">
        <v>20</v>
      </c>
      <c r="J95" t="s">
        <v>11</v>
      </c>
      <c r="K95" t="s">
        <v>6</v>
      </c>
      <c r="L95" t="str">
        <f t="shared" si="1"/>
        <v>2015AugustRural</v>
      </c>
      <c r="M95">
        <v>65.849419999999995</v>
      </c>
      <c r="N95">
        <v>65.8</v>
      </c>
    </row>
    <row r="96" spans="1:14" x14ac:dyDescent="0.25">
      <c r="A96" s="1">
        <v>2015</v>
      </c>
      <c r="B96" s="1" t="s">
        <v>20</v>
      </c>
      <c r="C96" s="1" t="s">
        <v>11</v>
      </c>
      <c r="D96" s="1" t="s">
        <v>7</v>
      </c>
      <c r="E96" s="1">
        <v>65.542400000000001</v>
      </c>
      <c r="H96">
        <v>2015</v>
      </c>
      <c r="I96" t="s">
        <v>20</v>
      </c>
      <c r="J96" t="s">
        <v>11</v>
      </c>
      <c r="K96" t="s">
        <v>7</v>
      </c>
      <c r="L96" t="str">
        <f t="shared" si="1"/>
        <v>2015AugustUrban</v>
      </c>
      <c r="M96">
        <v>65.542400000000001</v>
      </c>
      <c r="N96">
        <v>65.5</v>
      </c>
    </row>
    <row r="97" spans="1:14" x14ac:dyDescent="0.25">
      <c r="A97" s="1">
        <v>2015</v>
      </c>
      <c r="B97" s="1" t="s">
        <v>20</v>
      </c>
      <c r="C97" s="1" t="s">
        <v>11</v>
      </c>
      <c r="D97" s="1" t="s">
        <v>8</v>
      </c>
      <c r="E97" s="1">
        <v>65.732159999999993</v>
      </c>
      <c r="H97">
        <v>2015</v>
      </c>
      <c r="I97" t="s">
        <v>20</v>
      </c>
      <c r="J97" t="s">
        <v>11</v>
      </c>
      <c r="K97" t="s">
        <v>8</v>
      </c>
      <c r="L97" t="str">
        <f t="shared" si="1"/>
        <v>2015AugustCombined</v>
      </c>
      <c r="M97">
        <v>65.732159999999993</v>
      </c>
      <c r="N97">
        <v>65.7</v>
      </c>
    </row>
    <row r="98" spans="1:14" x14ac:dyDescent="0.25">
      <c r="A98" s="1">
        <v>2015</v>
      </c>
      <c r="B98" s="1" t="s">
        <v>21</v>
      </c>
      <c r="C98" s="1" t="s">
        <v>11</v>
      </c>
      <c r="D98" s="1" t="s">
        <v>6</v>
      </c>
      <c r="E98" s="1">
        <v>66.319400000000002</v>
      </c>
      <c r="H98">
        <v>2015</v>
      </c>
      <c r="I98" t="s">
        <v>21</v>
      </c>
      <c r="J98" t="s">
        <v>11</v>
      </c>
      <c r="K98" t="s">
        <v>6</v>
      </c>
      <c r="L98" t="str">
        <f t="shared" si="1"/>
        <v>2015SeptemberRural</v>
      </c>
      <c r="M98">
        <v>66.319400000000002</v>
      </c>
      <c r="N98">
        <v>66.3</v>
      </c>
    </row>
    <row r="99" spans="1:14" x14ac:dyDescent="0.25">
      <c r="A99" s="1">
        <v>2015</v>
      </c>
      <c r="B99" s="1" t="s">
        <v>21</v>
      </c>
      <c r="C99" s="1" t="s">
        <v>11</v>
      </c>
      <c r="D99" s="1" t="s">
        <v>7</v>
      </c>
      <c r="E99" s="1">
        <v>65.701999999999998</v>
      </c>
      <c r="H99">
        <v>2015</v>
      </c>
      <c r="I99" t="s">
        <v>21</v>
      </c>
      <c r="J99" t="s">
        <v>11</v>
      </c>
      <c r="K99" t="s">
        <v>7</v>
      </c>
      <c r="L99" t="str">
        <f t="shared" si="1"/>
        <v>2015SeptemberUrban</v>
      </c>
      <c r="M99">
        <v>65.701999999999998</v>
      </c>
      <c r="N99">
        <v>65.7</v>
      </c>
    </row>
    <row r="100" spans="1:14" x14ac:dyDescent="0.25">
      <c r="A100" s="1">
        <v>2015</v>
      </c>
      <c r="B100" s="1" t="s">
        <v>21</v>
      </c>
      <c r="C100" s="1" t="s">
        <v>11</v>
      </c>
      <c r="D100" s="1" t="s">
        <v>8</v>
      </c>
      <c r="E100" s="1">
        <v>66.048180000000002</v>
      </c>
      <c r="H100">
        <v>2015</v>
      </c>
      <c r="I100" t="s">
        <v>21</v>
      </c>
      <c r="J100" t="s">
        <v>11</v>
      </c>
      <c r="K100" t="s">
        <v>8</v>
      </c>
      <c r="L100" t="str">
        <f t="shared" si="1"/>
        <v>2015SeptemberCombined</v>
      </c>
      <c r="M100">
        <v>66.048180000000002</v>
      </c>
      <c r="N100">
        <v>66</v>
      </c>
    </row>
    <row r="101" spans="1:14" x14ac:dyDescent="0.25">
      <c r="A101" s="1">
        <v>2015</v>
      </c>
      <c r="B101" s="1" t="s">
        <v>22</v>
      </c>
      <c r="C101" s="1" t="s">
        <v>11</v>
      </c>
      <c r="D101" s="1" t="s">
        <v>6</v>
      </c>
      <c r="E101" s="1">
        <v>66.684939999999997</v>
      </c>
      <c r="H101">
        <v>2015</v>
      </c>
      <c r="I101" t="s">
        <v>22</v>
      </c>
      <c r="J101" t="s">
        <v>11</v>
      </c>
      <c r="K101" t="s">
        <v>6</v>
      </c>
      <c r="L101" t="str">
        <f t="shared" si="1"/>
        <v>2015OctoberRural</v>
      </c>
      <c r="M101">
        <v>66.684939999999997</v>
      </c>
      <c r="N101">
        <v>66.7</v>
      </c>
    </row>
    <row r="102" spans="1:14" x14ac:dyDescent="0.25">
      <c r="A102" s="1">
        <v>2015</v>
      </c>
      <c r="B102" s="1" t="s">
        <v>22</v>
      </c>
      <c r="C102" s="1" t="s">
        <v>11</v>
      </c>
      <c r="D102" s="1" t="s">
        <v>7</v>
      </c>
      <c r="E102" s="1">
        <v>66.074400000000011</v>
      </c>
      <c r="H102">
        <v>2015</v>
      </c>
      <c r="I102" t="s">
        <v>22</v>
      </c>
      <c r="J102" t="s">
        <v>11</v>
      </c>
      <c r="K102" t="s">
        <v>7</v>
      </c>
      <c r="L102" t="str">
        <f t="shared" si="1"/>
        <v>2015OctoberUrban</v>
      </c>
      <c r="M102">
        <v>66.074400000000011</v>
      </c>
      <c r="N102">
        <v>66.099999999999994</v>
      </c>
    </row>
    <row r="103" spans="1:14" x14ac:dyDescent="0.25">
      <c r="A103" s="1">
        <v>2015</v>
      </c>
      <c r="B103" s="1" t="s">
        <v>22</v>
      </c>
      <c r="C103" s="1" t="s">
        <v>11</v>
      </c>
      <c r="D103" s="1" t="s">
        <v>8</v>
      </c>
      <c r="E103" s="1">
        <v>66.416869999999989</v>
      </c>
      <c r="H103">
        <v>2015</v>
      </c>
      <c r="I103" t="s">
        <v>22</v>
      </c>
      <c r="J103" t="s">
        <v>11</v>
      </c>
      <c r="K103" t="s">
        <v>8</v>
      </c>
      <c r="L103" t="str">
        <f t="shared" si="1"/>
        <v>2015OctoberCombined</v>
      </c>
      <c r="M103">
        <v>66.416869999999989</v>
      </c>
      <c r="N103">
        <v>66.400000000000006</v>
      </c>
    </row>
    <row r="104" spans="1:14" x14ac:dyDescent="0.25">
      <c r="A104" s="1">
        <v>2015</v>
      </c>
      <c r="B104" s="1" t="s">
        <v>23</v>
      </c>
      <c r="C104" s="1" t="s">
        <v>11</v>
      </c>
      <c r="D104" s="1" t="s">
        <v>6</v>
      </c>
      <c r="E104" s="1">
        <v>66.998260000000002</v>
      </c>
      <c r="H104">
        <v>2015</v>
      </c>
      <c r="I104" t="s">
        <v>23</v>
      </c>
      <c r="J104" t="s">
        <v>11</v>
      </c>
      <c r="K104" t="s">
        <v>6</v>
      </c>
      <c r="L104" t="str">
        <f t="shared" si="1"/>
        <v>2015NovemberRural</v>
      </c>
      <c r="M104">
        <v>66.998260000000002</v>
      </c>
      <c r="N104">
        <v>67</v>
      </c>
    </row>
    <row r="105" spans="1:14" x14ac:dyDescent="0.25">
      <c r="A105" s="1">
        <v>2015</v>
      </c>
      <c r="B105" s="1" t="s">
        <v>23</v>
      </c>
      <c r="C105" s="1" t="s">
        <v>11</v>
      </c>
      <c r="D105" s="1" t="s">
        <v>7</v>
      </c>
      <c r="E105" s="1">
        <v>66.287199999999999</v>
      </c>
      <c r="H105">
        <v>2015</v>
      </c>
      <c r="I105" t="s">
        <v>23</v>
      </c>
      <c r="J105" t="s">
        <v>11</v>
      </c>
      <c r="K105" t="s">
        <v>7</v>
      </c>
      <c r="L105" t="str">
        <f t="shared" si="1"/>
        <v>2015NovemberUrban</v>
      </c>
      <c r="M105">
        <v>66.287199999999999</v>
      </c>
      <c r="N105">
        <v>66.3</v>
      </c>
    </row>
    <row r="106" spans="1:14" x14ac:dyDescent="0.25">
      <c r="A106" s="1">
        <v>2015</v>
      </c>
      <c r="B106" s="1" t="s">
        <v>23</v>
      </c>
      <c r="C106" s="1" t="s">
        <v>11</v>
      </c>
      <c r="D106" s="1" t="s">
        <v>8</v>
      </c>
      <c r="E106" s="1">
        <v>66.680219999999991</v>
      </c>
      <c r="H106">
        <v>2015</v>
      </c>
      <c r="I106" t="s">
        <v>23</v>
      </c>
      <c r="J106" t="s">
        <v>11</v>
      </c>
      <c r="K106" t="s">
        <v>8</v>
      </c>
      <c r="L106" t="str">
        <f t="shared" si="1"/>
        <v>2015NovemberCombined</v>
      </c>
      <c r="M106">
        <v>66.680219999999991</v>
      </c>
      <c r="N106">
        <v>66.7</v>
      </c>
    </row>
    <row r="107" spans="1:14" x14ac:dyDescent="0.25">
      <c r="A107" s="1">
        <v>2015</v>
      </c>
      <c r="B107" s="1" t="s">
        <v>24</v>
      </c>
      <c r="C107" s="1" t="s">
        <v>11</v>
      </c>
      <c r="D107" s="1" t="s">
        <v>6</v>
      </c>
      <c r="E107" s="1">
        <v>66.789380000000008</v>
      </c>
      <c r="H107">
        <v>2015</v>
      </c>
      <c r="I107" t="s">
        <v>24</v>
      </c>
      <c r="J107" t="s">
        <v>11</v>
      </c>
      <c r="K107" t="s">
        <v>6</v>
      </c>
      <c r="L107" t="str">
        <f t="shared" si="1"/>
        <v>2015DecemberRural</v>
      </c>
      <c r="M107">
        <v>66.789380000000008</v>
      </c>
      <c r="N107">
        <v>66.8</v>
      </c>
    </row>
    <row r="108" spans="1:14" x14ac:dyDescent="0.25">
      <c r="A108" s="1">
        <v>2015</v>
      </c>
      <c r="B108" s="1" t="s">
        <v>24</v>
      </c>
      <c r="C108" s="1" t="s">
        <v>11</v>
      </c>
      <c r="D108" s="1" t="s">
        <v>7</v>
      </c>
      <c r="E108" s="1">
        <v>65.968000000000004</v>
      </c>
      <c r="H108">
        <v>2015</v>
      </c>
      <c r="I108" t="s">
        <v>24</v>
      </c>
      <c r="J108" t="s">
        <v>11</v>
      </c>
      <c r="K108" t="s">
        <v>7</v>
      </c>
      <c r="L108" t="str">
        <f t="shared" si="1"/>
        <v>2015DecemberUrban</v>
      </c>
      <c r="M108">
        <v>65.968000000000004</v>
      </c>
      <c r="N108">
        <v>66</v>
      </c>
    </row>
    <row r="109" spans="1:14" x14ac:dyDescent="0.25">
      <c r="A109" s="1">
        <v>2015</v>
      </c>
      <c r="B109" s="1" t="s">
        <v>24</v>
      </c>
      <c r="C109" s="1" t="s">
        <v>11</v>
      </c>
      <c r="D109" s="1" t="s">
        <v>8</v>
      </c>
      <c r="E109" s="1">
        <v>66.416869999999989</v>
      </c>
      <c r="H109">
        <v>2015</v>
      </c>
      <c r="I109" t="s">
        <v>24</v>
      </c>
      <c r="J109" t="s">
        <v>11</v>
      </c>
      <c r="K109" t="s">
        <v>8</v>
      </c>
      <c r="L109" t="str">
        <f t="shared" si="1"/>
        <v>2015DecemberCombined</v>
      </c>
      <c r="M109">
        <v>66.416869999999989</v>
      </c>
      <c r="N109">
        <v>66.400000000000006</v>
      </c>
    </row>
    <row r="110" spans="1:14" x14ac:dyDescent="0.25">
      <c r="A110" s="1">
        <v>2016</v>
      </c>
      <c r="B110" s="1" t="s">
        <v>10</v>
      </c>
      <c r="C110" s="1" t="s">
        <v>11</v>
      </c>
      <c r="D110" s="1" t="s">
        <v>6</v>
      </c>
      <c r="E110" s="1">
        <v>66.893819999999991</v>
      </c>
      <c r="H110">
        <v>2016</v>
      </c>
      <c r="I110" t="s">
        <v>10</v>
      </c>
      <c r="J110" t="s">
        <v>11</v>
      </c>
      <c r="K110" t="s">
        <v>6</v>
      </c>
      <c r="L110" t="str">
        <f t="shared" si="1"/>
        <v>2016JanuaryRural</v>
      </c>
      <c r="M110">
        <v>66.893819999999991</v>
      </c>
      <c r="N110">
        <v>66.900000000000006</v>
      </c>
    </row>
    <row r="111" spans="1:14" x14ac:dyDescent="0.25">
      <c r="A111" s="1">
        <v>2016</v>
      </c>
      <c r="B111" s="1" t="s">
        <v>10</v>
      </c>
      <c r="C111" s="1" t="s">
        <v>11</v>
      </c>
      <c r="D111" s="1" t="s">
        <v>7</v>
      </c>
      <c r="E111" s="1">
        <v>66.074400000000011</v>
      </c>
      <c r="H111">
        <v>2016</v>
      </c>
      <c r="I111" t="s">
        <v>10</v>
      </c>
      <c r="J111" t="s">
        <v>11</v>
      </c>
      <c r="K111" t="s">
        <v>7</v>
      </c>
      <c r="L111" t="str">
        <f t="shared" si="1"/>
        <v>2016JanuaryUrban</v>
      </c>
      <c r="M111">
        <v>66.074400000000011</v>
      </c>
      <c r="N111">
        <v>66.099999999999994</v>
      </c>
    </row>
    <row r="112" spans="1:14" x14ac:dyDescent="0.25">
      <c r="A112" s="1">
        <v>2016</v>
      </c>
      <c r="B112" s="1" t="s">
        <v>10</v>
      </c>
      <c r="C112" s="1" t="s">
        <v>11</v>
      </c>
      <c r="D112" s="1" t="s">
        <v>8</v>
      </c>
      <c r="E112" s="1">
        <v>66.522209999999987</v>
      </c>
      <c r="H112">
        <v>2016</v>
      </c>
      <c r="I112" t="s">
        <v>10</v>
      </c>
      <c r="J112" t="s">
        <v>11</v>
      </c>
      <c r="K112" t="s">
        <v>8</v>
      </c>
      <c r="L112" t="str">
        <f t="shared" si="1"/>
        <v>2016JanuaryCombined</v>
      </c>
      <c r="M112">
        <v>66.522209999999987</v>
      </c>
      <c r="N112">
        <v>66.5</v>
      </c>
    </row>
    <row r="113" spans="1:14" x14ac:dyDescent="0.25">
      <c r="A113" s="1">
        <v>2016</v>
      </c>
      <c r="B113" s="1" t="s">
        <v>14</v>
      </c>
      <c r="C113" s="1" t="s">
        <v>11</v>
      </c>
      <c r="D113" s="1" t="s">
        <v>6</v>
      </c>
      <c r="E113" s="1">
        <v>66.789380000000008</v>
      </c>
      <c r="H113">
        <v>2016</v>
      </c>
      <c r="I113" t="s">
        <v>14</v>
      </c>
      <c r="J113" t="s">
        <v>11</v>
      </c>
      <c r="K113" t="s">
        <v>6</v>
      </c>
      <c r="L113" t="str">
        <f t="shared" si="1"/>
        <v>2016FebruaryRural</v>
      </c>
      <c r="M113">
        <v>66.789380000000008</v>
      </c>
      <c r="N113">
        <v>66.8</v>
      </c>
    </row>
    <row r="114" spans="1:14" x14ac:dyDescent="0.25">
      <c r="A114" s="1">
        <v>2016</v>
      </c>
      <c r="B114" s="1" t="s">
        <v>14</v>
      </c>
      <c r="C114" s="1" t="s">
        <v>11</v>
      </c>
      <c r="D114" s="1" t="s">
        <v>7</v>
      </c>
      <c r="E114" s="1">
        <v>65.861599999999996</v>
      </c>
      <c r="H114">
        <v>2016</v>
      </c>
      <c r="I114" t="s">
        <v>14</v>
      </c>
      <c r="J114" t="s">
        <v>11</v>
      </c>
      <c r="K114" t="s">
        <v>7</v>
      </c>
      <c r="L114" t="str">
        <f t="shared" si="1"/>
        <v>2016FebruaryUrban</v>
      </c>
      <c r="M114">
        <v>65.861599999999996</v>
      </c>
      <c r="N114">
        <v>65.900000000000006</v>
      </c>
    </row>
    <row r="115" spans="1:14" x14ac:dyDescent="0.25">
      <c r="A115" s="1">
        <v>2016</v>
      </c>
      <c r="B115" s="1" t="s">
        <v>14</v>
      </c>
      <c r="C115" s="1" t="s">
        <v>11</v>
      </c>
      <c r="D115" s="1" t="s">
        <v>8</v>
      </c>
      <c r="E115" s="1">
        <v>66.364199999999997</v>
      </c>
      <c r="H115">
        <v>2016</v>
      </c>
      <c r="I115" t="s">
        <v>14</v>
      </c>
      <c r="J115" t="s">
        <v>11</v>
      </c>
      <c r="K115" t="s">
        <v>8</v>
      </c>
      <c r="L115" t="str">
        <f t="shared" si="1"/>
        <v>2016FebruaryCombined</v>
      </c>
      <c r="M115">
        <v>66.364199999999997</v>
      </c>
      <c r="N115">
        <v>66.400000000000006</v>
      </c>
    </row>
    <row r="116" spans="1:14" x14ac:dyDescent="0.25">
      <c r="A116" s="1">
        <v>2016</v>
      </c>
      <c r="B116" s="1" t="s">
        <v>15</v>
      </c>
      <c r="C116" s="1" t="s">
        <v>11</v>
      </c>
      <c r="D116" s="1" t="s">
        <v>6</v>
      </c>
      <c r="E116" s="1">
        <v>66.8416</v>
      </c>
      <c r="H116">
        <v>2016</v>
      </c>
      <c r="I116" t="s">
        <v>15</v>
      </c>
      <c r="J116" t="s">
        <v>11</v>
      </c>
      <c r="K116" t="s">
        <v>6</v>
      </c>
      <c r="L116" t="str">
        <f t="shared" si="1"/>
        <v>2016MarchRural</v>
      </c>
      <c r="M116">
        <v>66.8416</v>
      </c>
      <c r="N116">
        <v>66.8</v>
      </c>
    </row>
    <row r="117" spans="1:14" x14ac:dyDescent="0.25">
      <c r="A117" s="1">
        <v>2016</v>
      </c>
      <c r="B117" s="1" t="s">
        <v>15</v>
      </c>
      <c r="C117" s="1" t="s">
        <v>11</v>
      </c>
      <c r="D117" s="1" t="s">
        <v>7</v>
      </c>
      <c r="E117" s="1">
        <v>65.861599999999996</v>
      </c>
      <c r="H117">
        <v>2016</v>
      </c>
      <c r="I117" t="s">
        <v>15</v>
      </c>
      <c r="J117" t="s">
        <v>11</v>
      </c>
      <c r="K117" t="s">
        <v>7</v>
      </c>
      <c r="L117" t="str">
        <f t="shared" si="1"/>
        <v>2016MarchUrban</v>
      </c>
      <c r="M117">
        <v>65.861599999999996</v>
      </c>
      <c r="N117">
        <v>65.900000000000006</v>
      </c>
    </row>
    <row r="118" spans="1:14" x14ac:dyDescent="0.25">
      <c r="A118" s="1">
        <v>2016</v>
      </c>
      <c r="B118" s="1" t="s">
        <v>15</v>
      </c>
      <c r="C118" s="1" t="s">
        <v>11</v>
      </c>
      <c r="D118" s="1" t="s">
        <v>8</v>
      </c>
      <c r="E118" s="1">
        <v>66.364199999999997</v>
      </c>
      <c r="H118">
        <v>2016</v>
      </c>
      <c r="I118" t="s">
        <v>15</v>
      </c>
      <c r="J118" t="s">
        <v>11</v>
      </c>
      <c r="K118" t="s">
        <v>8</v>
      </c>
      <c r="L118" t="str">
        <f t="shared" si="1"/>
        <v>2016MarchCombined</v>
      </c>
      <c r="M118">
        <v>66.364199999999997</v>
      </c>
      <c r="N118">
        <v>66.400000000000006</v>
      </c>
    </row>
    <row r="119" spans="1:14" x14ac:dyDescent="0.25">
      <c r="A119" s="1">
        <v>2016</v>
      </c>
      <c r="B119" s="1" t="s">
        <v>16</v>
      </c>
      <c r="C119" s="1" t="s">
        <v>11</v>
      </c>
      <c r="D119" s="1" t="s">
        <v>6</v>
      </c>
      <c r="E119" s="1">
        <v>67.363799999999998</v>
      </c>
      <c r="H119">
        <v>2016</v>
      </c>
      <c r="I119" t="s">
        <v>16</v>
      </c>
      <c r="J119" t="s">
        <v>11</v>
      </c>
      <c r="K119" t="s">
        <v>6</v>
      </c>
      <c r="L119" t="str">
        <f t="shared" si="1"/>
        <v>2016AprilRural</v>
      </c>
      <c r="M119">
        <v>67.363799999999998</v>
      </c>
      <c r="N119">
        <v>67.400000000000006</v>
      </c>
    </row>
    <row r="120" spans="1:14" x14ac:dyDescent="0.25">
      <c r="A120" s="1">
        <v>2016</v>
      </c>
      <c r="B120" s="1" t="s">
        <v>16</v>
      </c>
      <c r="C120" s="1" t="s">
        <v>11</v>
      </c>
      <c r="D120" s="1" t="s">
        <v>7</v>
      </c>
      <c r="E120" s="1">
        <v>66.659599999999998</v>
      </c>
      <c r="H120">
        <v>2016</v>
      </c>
      <c r="I120" t="s">
        <v>16</v>
      </c>
      <c r="J120" t="s">
        <v>11</v>
      </c>
      <c r="K120" t="s">
        <v>7</v>
      </c>
      <c r="L120" t="str">
        <f t="shared" si="1"/>
        <v>2016AprilUrban</v>
      </c>
      <c r="M120">
        <v>66.659599999999998</v>
      </c>
      <c r="N120">
        <v>66.7</v>
      </c>
    </row>
    <row r="121" spans="1:14" x14ac:dyDescent="0.25">
      <c r="A121" s="1">
        <v>2016</v>
      </c>
      <c r="B121" s="1" t="s">
        <v>16</v>
      </c>
      <c r="C121" s="1" t="s">
        <v>11</v>
      </c>
      <c r="D121" s="1" t="s">
        <v>8</v>
      </c>
      <c r="E121" s="1">
        <v>67.048909999999992</v>
      </c>
      <c r="H121">
        <v>2016</v>
      </c>
      <c r="I121" t="s">
        <v>16</v>
      </c>
      <c r="J121" t="s">
        <v>11</v>
      </c>
      <c r="K121" t="s">
        <v>8</v>
      </c>
      <c r="L121" t="str">
        <f t="shared" si="1"/>
        <v>2016AprilCombined</v>
      </c>
      <c r="M121">
        <v>67.048909999999992</v>
      </c>
      <c r="N121">
        <v>67</v>
      </c>
    </row>
    <row r="122" spans="1:14" x14ac:dyDescent="0.25">
      <c r="A122" s="1">
        <v>2016</v>
      </c>
      <c r="B122" s="1" t="s">
        <v>17</v>
      </c>
      <c r="C122" s="1" t="s">
        <v>11</v>
      </c>
      <c r="D122" s="1" t="s">
        <v>6</v>
      </c>
      <c r="E122" s="1">
        <v>68.042660000000012</v>
      </c>
      <c r="H122">
        <v>2016</v>
      </c>
      <c r="I122" t="s">
        <v>17</v>
      </c>
      <c r="J122" t="s">
        <v>11</v>
      </c>
      <c r="K122" t="s">
        <v>6</v>
      </c>
      <c r="L122" t="str">
        <f t="shared" si="1"/>
        <v>2016MayRural</v>
      </c>
      <c r="M122">
        <v>68.042660000000012</v>
      </c>
      <c r="N122">
        <v>68</v>
      </c>
    </row>
    <row r="123" spans="1:14" x14ac:dyDescent="0.25">
      <c r="A123" s="1">
        <v>2016</v>
      </c>
      <c r="B123" s="1" t="s">
        <v>17</v>
      </c>
      <c r="C123" s="1" t="s">
        <v>11</v>
      </c>
      <c r="D123" s="1" t="s">
        <v>7</v>
      </c>
      <c r="E123" s="1">
        <v>67.351200000000006</v>
      </c>
      <c r="H123">
        <v>2016</v>
      </c>
      <c r="I123" t="s">
        <v>17</v>
      </c>
      <c r="J123" t="s">
        <v>11</v>
      </c>
      <c r="K123" t="s">
        <v>7</v>
      </c>
      <c r="L123" t="str">
        <f t="shared" si="1"/>
        <v>2016MayUrban</v>
      </c>
      <c r="M123">
        <v>67.351200000000006</v>
      </c>
      <c r="N123">
        <v>67.400000000000006</v>
      </c>
    </row>
    <row r="124" spans="1:14" x14ac:dyDescent="0.25">
      <c r="A124" s="1">
        <v>2016</v>
      </c>
      <c r="B124" s="1" t="s">
        <v>17</v>
      </c>
      <c r="C124" s="1" t="s">
        <v>11</v>
      </c>
      <c r="D124" s="1" t="s">
        <v>8</v>
      </c>
      <c r="E124" s="1">
        <v>67.733619999999988</v>
      </c>
      <c r="H124">
        <v>2016</v>
      </c>
      <c r="I124" t="s">
        <v>17</v>
      </c>
      <c r="J124" t="s">
        <v>11</v>
      </c>
      <c r="K124" t="s">
        <v>8</v>
      </c>
      <c r="L124" t="str">
        <f t="shared" si="1"/>
        <v>2016MayCombined</v>
      </c>
      <c r="M124">
        <v>67.733619999999988</v>
      </c>
      <c r="N124">
        <v>67.7</v>
      </c>
    </row>
    <row r="125" spans="1:14" x14ac:dyDescent="0.25">
      <c r="A125" s="1">
        <v>2016</v>
      </c>
      <c r="B125" s="1" t="s">
        <v>18</v>
      </c>
      <c r="C125" s="1" t="s">
        <v>11</v>
      </c>
      <c r="D125" s="1" t="s">
        <v>6</v>
      </c>
      <c r="E125" s="1">
        <v>68.87818</v>
      </c>
      <c r="H125">
        <v>2016</v>
      </c>
      <c r="I125" t="s">
        <v>18</v>
      </c>
      <c r="J125" t="s">
        <v>11</v>
      </c>
      <c r="K125" t="s">
        <v>6</v>
      </c>
      <c r="L125" t="str">
        <f t="shared" si="1"/>
        <v>2016JuneRural</v>
      </c>
      <c r="M125">
        <v>68.87818</v>
      </c>
      <c r="N125">
        <v>68.900000000000006</v>
      </c>
    </row>
    <row r="126" spans="1:14" x14ac:dyDescent="0.25">
      <c r="A126" s="1">
        <v>2016</v>
      </c>
      <c r="B126" s="1" t="s">
        <v>18</v>
      </c>
      <c r="C126" s="1" t="s">
        <v>11</v>
      </c>
      <c r="D126" s="1" t="s">
        <v>7</v>
      </c>
      <c r="E126" s="1">
        <v>68.149200000000008</v>
      </c>
      <c r="H126">
        <v>2016</v>
      </c>
      <c r="I126" t="s">
        <v>18</v>
      </c>
      <c r="J126" t="s">
        <v>11</v>
      </c>
      <c r="K126" t="s">
        <v>7</v>
      </c>
      <c r="L126" t="str">
        <f t="shared" si="1"/>
        <v>2016JuneUrban</v>
      </c>
      <c r="M126">
        <v>68.149200000000008</v>
      </c>
      <c r="N126">
        <v>68.099999999999994</v>
      </c>
    </row>
    <row r="127" spans="1:14" x14ac:dyDescent="0.25">
      <c r="A127" s="1">
        <v>2016</v>
      </c>
      <c r="B127" s="1" t="s">
        <v>18</v>
      </c>
      <c r="C127" s="1" t="s">
        <v>11</v>
      </c>
      <c r="D127" s="1" t="s">
        <v>8</v>
      </c>
      <c r="E127" s="1">
        <v>68.523669999999996</v>
      </c>
      <c r="H127">
        <v>2016</v>
      </c>
      <c r="I127" t="s">
        <v>18</v>
      </c>
      <c r="J127" t="s">
        <v>11</v>
      </c>
      <c r="K127" t="s">
        <v>8</v>
      </c>
      <c r="L127" t="str">
        <f t="shared" si="1"/>
        <v>2016JuneCombined</v>
      </c>
      <c r="M127">
        <v>68.523669999999996</v>
      </c>
      <c r="N127">
        <v>68.5</v>
      </c>
    </row>
    <row r="128" spans="1:14" x14ac:dyDescent="0.25">
      <c r="A128" s="1">
        <v>2016</v>
      </c>
      <c r="B128" s="1" t="s">
        <v>19</v>
      </c>
      <c r="C128" s="1" t="s">
        <v>11</v>
      </c>
      <c r="D128" s="1" t="s">
        <v>6</v>
      </c>
      <c r="E128" s="1">
        <v>69.452600000000004</v>
      </c>
      <c r="H128">
        <v>2016</v>
      </c>
      <c r="I128" t="s">
        <v>19</v>
      </c>
      <c r="J128" t="s">
        <v>11</v>
      </c>
      <c r="K128" t="s">
        <v>6</v>
      </c>
      <c r="L128" t="str">
        <f t="shared" si="1"/>
        <v>2016JulyRural</v>
      </c>
      <c r="M128">
        <v>69.452600000000004</v>
      </c>
      <c r="N128">
        <v>69.5</v>
      </c>
    </row>
    <row r="129" spans="1:14" x14ac:dyDescent="0.25">
      <c r="A129" s="1">
        <v>2016</v>
      </c>
      <c r="B129" s="1" t="s">
        <v>19</v>
      </c>
      <c r="C129" s="1" t="s">
        <v>11</v>
      </c>
      <c r="D129" s="1" t="s">
        <v>7</v>
      </c>
      <c r="E129" s="1">
        <v>68.628</v>
      </c>
      <c r="H129">
        <v>2016</v>
      </c>
      <c r="I129" t="s">
        <v>19</v>
      </c>
      <c r="J129" t="s">
        <v>11</v>
      </c>
      <c r="K129" t="s">
        <v>7</v>
      </c>
      <c r="L129" t="str">
        <f t="shared" si="1"/>
        <v>2016JulyUrban</v>
      </c>
      <c r="M129">
        <v>68.628</v>
      </c>
      <c r="N129">
        <v>68.599999999999994</v>
      </c>
    </row>
    <row r="130" spans="1:14" x14ac:dyDescent="0.25">
      <c r="A130" s="1">
        <v>2016</v>
      </c>
      <c r="B130" s="1" t="s">
        <v>19</v>
      </c>
      <c r="C130" s="1" t="s">
        <v>11</v>
      </c>
      <c r="D130" s="1" t="s">
        <v>8</v>
      </c>
      <c r="E130" s="1">
        <v>69.050369999999987</v>
      </c>
      <c r="H130">
        <v>2016</v>
      </c>
      <c r="I130" t="s">
        <v>19</v>
      </c>
      <c r="J130" t="s">
        <v>11</v>
      </c>
      <c r="K130" t="s">
        <v>8</v>
      </c>
      <c r="L130" t="str">
        <f t="shared" si="1"/>
        <v>2016JulyCombined</v>
      </c>
      <c r="M130">
        <v>69.050369999999987</v>
      </c>
      <c r="N130">
        <v>69.099999999999994</v>
      </c>
    </row>
    <row r="131" spans="1:14" x14ac:dyDescent="0.25">
      <c r="A131" s="1">
        <v>2016</v>
      </c>
      <c r="B131" s="1" t="s">
        <v>20</v>
      </c>
      <c r="C131" s="1" t="s">
        <v>11</v>
      </c>
      <c r="D131" s="1" t="s">
        <v>6</v>
      </c>
      <c r="E131" s="1">
        <v>69.713700000000003</v>
      </c>
      <c r="H131">
        <v>2016</v>
      </c>
      <c r="I131" t="s">
        <v>20</v>
      </c>
      <c r="J131" t="s">
        <v>11</v>
      </c>
      <c r="K131" t="s">
        <v>6</v>
      </c>
      <c r="L131" t="str">
        <f t="shared" ref="L131:L194" si="2">CONCATENATE(H131,I131,K131)</f>
        <v>2016AugustRural</v>
      </c>
      <c r="M131">
        <v>69.713700000000003</v>
      </c>
      <c r="N131">
        <v>69.7</v>
      </c>
    </row>
    <row r="132" spans="1:14" x14ac:dyDescent="0.25">
      <c r="A132" s="1">
        <v>2016</v>
      </c>
      <c r="B132" s="1" t="s">
        <v>20</v>
      </c>
      <c r="C132" s="1" t="s">
        <v>11</v>
      </c>
      <c r="D132" s="1" t="s">
        <v>7</v>
      </c>
      <c r="E132" s="1">
        <v>68.308800000000005</v>
      </c>
      <c r="H132">
        <v>2016</v>
      </c>
      <c r="I132" t="s">
        <v>20</v>
      </c>
      <c r="J132" t="s">
        <v>11</v>
      </c>
      <c r="K132" t="s">
        <v>7</v>
      </c>
      <c r="L132" t="str">
        <f t="shared" si="2"/>
        <v>2016AugustUrban</v>
      </c>
      <c r="M132">
        <v>68.308800000000005</v>
      </c>
      <c r="N132">
        <v>68.3</v>
      </c>
    </row>
    <row r="133" spans="1:14" x14ac:dyDescent="0.25">
      <c r="A133" s="1">
        <v>2016</v>
      </c>
      <c r="B133" s="1" t="s">
        <v>20</v>
      </c>
      <c r="C133" s="1" t="s">
        <v>11</v>
      </c>
      <c r="D133" s="1" t="s">
        <v>8</v>
      </c>
      <c r="E133" s="1">
        <v>69.050369999999987</v>
      </c>
      <c r="H133">
        <v>2016</v>
      </c>
      <c r="I133" t="s">
        <v>20</v>
      </c>
      <c r="J133" t="s">
        <v>11</v>
      </c>
      <c r="K133" t="s">
        <v>8</v>
      </c>
      <c r="L133" t="str">
        <f t="shared" si="2"/>
        <v>2016AugustCombined</v>
      </c>
      <c r="M133">
        <v>69.050369999999987</v>
      </c>
      <c r="N133">
        <v>69.099999999999994</v>
      </c>
    </row>
    <row r="134" spans="1:14" x14ac:dyDescent="0.25">
      <c r="A134" s="1">
        <v>2016</v>
      </c>
      <c r="B134" s="1" t="s">
        <v>21</v>
      </c>
      <c r="C134" s="1" t="s">
        <v>11</v>
      </c>
      <c r="D134" s="1" t="s">
        <v>6</v>
      </c>
      <c r="E134" s="1">
        <v>69.661479999999997</v>
      </c>
      <c r="H134">
        <v>2016</v>
      </c>
      <c r="I134" t="s">
        <v>21</v>
      </c>
      <c r="J134" t="s">
        <v>11</v>
      </c>
      <c r="K134" t="s">
        <v>6</v>
      </c>
      <c r="L134" t="str">
        <f t="shared" si="2"/>
        <v>2016SeptemberRural</v>
      </c>
      <c r="M134">
        <v>69.661479999999997</v>
      </c>
      <c r="N134">
        <v>69.7</v>
      </c>
    </row>
    <row r="135" spans="1:14" x14ac:dyDescent="0.25">
      <c r="A135" s="1">
        <v>2016</v>
      </c>
      <c r="B135" s="1" t="s">
        <v>21</v>
      </c>
      <c r="C135" s="1" t="s">
        <v>11</v>
      </c>
      <c r="D135" s="1" t="s">
        <v>7</v>
      </c>
      <c r="E135" s="1">
        <v>68.096000000000004</v>
      </c>
      <c r="H135">
        <v>2016</v>
      </c>
      <c r="I135" t="s">
        <v>21</v>
      </c>
      <c r="J135" t="s">
        <v>11</v>
      </c>
      <c r="K135" t="s">
        <v>7</v>
      </c>
      <c r="L135" t="str">
        <f t="shared" si="2"/>
        <v>2016SeptemberUrban</v>
      </c>
      <c r="M135">
        <v>68.096000000000004</v>
      </c>
      <c r="N135">
        <v>68.099999999999994</v>
      </c>
    </row>
    <row r="136" spans="1:14" x14ac:dyDescent="0.25">
      <c r="A136" s="1">
        <v>2016</v>
      </c>
      <c r="B136" s="1" t="s">
        <v>21</v>
      </c>
      <c r="C136" s="1" t="s">
        <v>11</v>
      </c>
      <c r="D136" s="1" t="s">
        <v>8</v>
      </c>
      <c r="E136" s="1">
        <v>68.945030000000003</v>
      </c>
      <c r="H136">
        <v>2016</v>
      </c>
      <c r="I136" t="s">
        <v>21</v>
      </c>
      <c r="J136" t="s">
        <v>11</v>
      </c>
      <c r="K136" t="s">
        <v>8</v>
      </c>
      <c r="L136" t="str">
        <f t="shared" si="2"/>
        <v>2016SeptemberCombined</v>
      </c>
      <c r="M136">
        <v>68.945030000000003</v>
      </c>
      <c r="N136">
        <v>68.900000000000006</v>
      </c>
    </row>
    <row r="137" spans="1:14" x14ac:dyDescent="0.25">
      <c r="A137" s="1">
        <v>2016</v>
      </c>
      <c r="B137" s="1" t="s">
        <v>22</v>
      </c>
      <c r="C137" s="1" t="s">
        <v>11</v>
      </c>
      <c r="D137" s="1" t="s">
        <v>6</v>
      </c>
      <c r="E137" s="1">
        <v>69.870360000000005</v>
      </c>
      <c r="H137">
        <v>2016</v>
      </c>
      <c r="I137" t="s">
        <v>22</v>
      </c>
      <c r="J137" t="s">
        <v>11</v>
      </c>
      <c r="K137" t="s">
        <v>6</v>
      </c>
      <c r="L137" t="str">
        <f t="shared" si="2"/>
        <v>2016OctoberRural</v>
      </c>
      <c r="M137">
        <v>69.870360000000005</v>
      </c>
      <c r="N137">
        <v>69.900000000000006</v>
      </c>
    </row>
    <row r="138" spans="1:14" x14ac:dyDescent="0.25">
      <c r="A138" s="1">
        <v>2016</v>
      </c>
      <c r="B138" s="1" t="s">
        <v>22</v>
      </c>
      <c r="C138" s="1" t="s">
        <v>11</v>
      </c>
      <c r="D138" s="1" t="s">
        <v>7</v>
      </c>
      <c r="E138" s="1">
        <v>68.415199999999999</v>
      </c>
      <c r="H138">
        <v>2016</v>
      </c>
      <c r="I138" t="s">
        <v>22</v>
      </c>
      <c r="J138" t="s">
        <v>11</v>
      </c>
      <c r="K138" t="s">
        <v>7</v>
      </c>
      <c r="L138" t="str">
        <f t="shared" si="2"/>
        <v>2016OctoberUrban</v>
      </c>
      <c r="M138">
        <v>68.415199999999999</v>
      </c>
      <c r="N138">
        <v>68.400000000000006</v>
      </c>
    </row>
    <row r="139" spans="1:14" x14ac:dyDescent="0.25">
      <c r="A139" s="1">
        <v>2016</v>
      </c>
      <c r="B139" s="1" t="s">
        <v>22</v>
      </c>
      <c r="C139" s="1" t="s">
        <v>11</v>
      </c>
      <c r="D139" s="1" t="s">
        <v>8</v>
      </c>
      <c r="E139" s="1">
        <v>69.208379999999991</v>
      </c>
      <c r="H139">
        <v>2016</v>
      </c>
      <c r="I139" t="s">
        <v>22</v>
      </c>
      <c r="J139" t="s">
        <v>11</v>
      </c>
      <c r="K139" t="s">
        <v>8</v>
      </c>
      <c r="L139" t="str">
        <f t="shared" si="2"/>
        <v>2016OctoberCombined</v>
      </c>
      <c r="M139">
        <v>69.208379999999991</v>
      </c>
      <c r="N139">
        <v>69.2</v>
      </c>
    </row>
    <row r="140" spans="1:14" x14ac:dyDescent="0.25">
      <c r="A140" s="1">
        <v>2016</v>
      </c>
      <c r="B140" s="1" t="s">
        <v>23</v>
      </c>
      <c r="C140" s="1" t="s">
        <v>11</v>
      </c>
      <c r="D140" s="1" t="s">
        <v>6</v>
      </c>
      <c r="E140" s="1">
        <v>69.765919999999994</v>
      </c>
      <c r="H140">
        <v>2016</v>
      </c>
      <c r="I140" t="s">
        <v>23</v>
      </c>
      <c r="J140" t="s">
        <v>11</v>
      </c>
      <c r="K140" t="s">
        <v>6</v>
      </c>
      <c r="L140" t="str">
        <f t="shared" si="2"/>
        <v>2016NovemberRural</v>
      </c>
      <c r="M140">
        <v>69.765919999999994</v>
      </c>
      <c r="N140">
        <v>69.8</v>
      </c>
    </row>
    <row r="141" spans="1:14" x14ac:dyDescent="0.25">
      <c r="A141" s="1">
        <v>2016</v>
      </c>
      <c r="B141" s="1" t="s">
        <v>23</v>
      </c>
      <c r="C141" s="1" t="s">
        <v>11</v>
      </c>
      <c r="D141" s="1" t="s">
        <v>7</v>
      </c>
      <c r="E141" s="1">
        <v>68.362000000000009</v>
      </c>
      <c r="H141">
        <v>2016</v>
      </c>
      <c r="I141" t="s">
        <v>23</v>
      </c>
      <c r="J141" t="s">
        <v>11</v>
      </c>
      <c r="K141" t="s">
        <v>7</v>
      </c>
      <c r="L141" t="str">
        <f t="shared" si="2"/>
        <v>2016NovemberUrban</v>
      </c>
      <c r="M141">
        <v>68.362000000000009</v>
      </c>
      <c r="N141">
        <v>68.400000000000006</v>
      </c>
    </row>
    <row r="142" spans="1:14" x14ac:dyDescent="0.25">
      <c r="A142" s="1">
        <v>2016</v>
      </c>
      <c r="B142" s="1" t="s">
        <v>23</v>
      </c>
      <c r="C142" s="1" t="s">
        <v>11</v>
      </c>
      <c r="D142" s="1" t="s">
        <v>8</v>
      </c>
      <c r="E142" s="1">
        <v>69.103039999999993</v>
      </c>
      <c r="H142">
        <v>2016</v>
      </c>
      <c r="I142" t="s">
        <v>23</v>
      </c>
      <c r="J142" t="s">
        <v>11</v>
      </c>
      <c r="K142" t="s">
        <v>8</v>
      </c>
      <c r="L142" t="str">
        <f t="shared" si="2"/>
        <v>2016NovemberCombined</v>
      </c>
      <c r="M142">
        <v>69.103039999999993</v>
      </c>
      <c r="N142">
        <v>69.099999999999994</v>
      </c>
    </row>
    <row r="143" spans="1:14" x14ac:dyDescent="0.25">
      <c r="A143" s="1">
        <v>2016</v>
      </c>
      <c r="B143" s="1" t="s">
        <v>24</v>
      </c>
      <c r="C143" s="1" t="s">
        <v>11</v>
      </c>
      <c r="D143" s="1" t="s">
        <v>6</v>
      </c>
      <c r="E143" s="1">
        <v>69.348160000000007</v>
      </c>
      <c r="H143">
        <v>2016</v>
      </c>
      <c r="I143" t="s">
        <v>24</v>
      </c>
      <c r="J143" t="s">
        <v>11</v>
      </c>
      <c r="K143" t="s">
        <v>6</v>
      </c>
      <c r="L143" t="str">
        <f t="shared" si="2"/>
        <v>2016DecemberRural</v>
      </c>
      <c r="M143">
        <v>69.348160000000007</v>
      </c>
      <c r="N143">
        <v>69.3</v>
      </c>
    </row>
    <row r="144" spans="1:14" x14ac:dyDescent="0.25">
      <c r="A144" s="1">
        <v>2016</v>
      </c>
      <c r="B144" s="1" t="s">
        <v>24</v>
      </c>
      <c r="C144" s="1" t="s">
        <v>11</v>
      </c>
      <c r="D144" s="1" t="s">
        <v>7</v>
      </c>
      <c r="E144" s="1">
        <v>67.883200000000002</v>
      </c>
      <c r="H144">
        <v>2016</v>
      </c>
      <c r="I144" t="s">
        <v>24</v>
      </c>
      <c r="J144" t="s">
        <v>11</v>
      </c>
      <c r="K144" t="s">
        <v>7</v>
      </c>
      <c r="L144" t="str">
        <f t="shared" si="2"/>
        <v>2016DecemberUrban</v>
      </c>
      <c r="M144">
        <v>67.883200000000002</v>
      </c>
      <c r="N144">
        <v>67.900000000000006</v>
      </c>
    </row>
    <row r="145" spans="1:14" x14ac:dyDescent="0.25">
      <c r="A145" s="1">
        <v>2016</v>
      </c>
      <c r="B145" s="1" t="s">
        <v>24</v>
      </c>
      <c r="C145" s="1" t="s">
        <v>11</v>
      </c>
      <c r="D145" s="1" t="s">
        <v>8</v>
      </c>
      <c r="E145" s="1">
        <v>68.68168</v>
      </c>
      <c r="H145">
        <v>2016</v>
      </c>
      <c r="I145" t="s">
        <v>24</v>
      </c>
      <c r="J145" t="s">
        <v>11</v>
      </c>
      <c r="K145" t="s">
        <v>8</v>
      </c>
      <c r="L145" t="str">
        <f t="shared" si="2"/>
        <v>2016DecemberCombined</v>
      </c>
      <c r="M145">
        <v>68.68168</v>
      </c>
      <c r="N145">
        <v>68.7</v>
      </c>
    </row>
    <row r="146" spans="1:14" x14ac:dyDescent="0.25">
      <c r="A146" s="1">
        <v>2017</v>
      </c>
      <c r="B146" s="1" t="s">
        <v>10</v>
      </c>
      <c r="C146" s="1" t="s">
        <v>11</v>
      </c>
      <c r="D146" s="1" t="s">
        <v>6</v>
      </c>
      <c r="E146" s="1">
        <v>69.139279999999999</v>
      </c>
      <c r="H146">
        <v>2017</v>
      </c>
      <c r="I146" t="s">
        <v>10</v>
      </c>
      <c r="J146" t="s">
        <v>11</v>
      </c>
      <c r="K146" t="s">
        <v>6</v>
      </c>
      <c r="L146" t="str">
        <f t="shared" si="2"/>
        <v>2017JanuaryRural</v>
      </c>
      <c r="M146">
        <v>69.139279999999999</v>
      </c>
      <c r="N146">
        <v>69.099999999999994</v>
      </c>
    </row>
    <row r="147" spans="1:14" x14ac:dyDescent="0.25">
      <c r="A147" s="1">
        <v>2017</v>
      </c>
      <c r="B147" s="1" t="s">
        <v>10</v>
      </c>
      <c r="C147" s="1" t="s">
        <v>11</v>
      </c>
      <c r="D147" s="1" t="s">
        <v>7</v>
      </c>
      <c r="E147" s="1">
        <v>67.989599999999996</v>
      </c>
      <c r="H147">
        <v>2017</v>
      </c>
      <c r="I147" t="s">
        <v>10</v>
      </c>
      <c r="J147" t="s">
        <v>11</v>
      </c>
      <c r="K147" t="s">
        <v>7</v>
      </c>
      <c r="L147" t="str">
        <f t="shared" si="2"/>
        <v>2017JanuaryUrban</v>
      </c>
      <c r="M147">
        <v>67.989599999999996</v>
      </c>
      <c r="N147">
        <v>68</v>
      </c>
    </row>
    <row r="148" spans="1:14" x14ac:dyDescent="0.25">
      <c r="A148" s="1">
        <v>2017</v>
      </c>
      <c r="B148" s="1" t="s">
        <v>10</v>
      </c>
      <c r="C148" s="1" t="s">
        <v>11</v>
      </c>
      <c r="D148" s="1" t="s">
        <v>8</v>
      </c>
      <c r="E148" s="1">
        <v>68.629009999999994</v>
      </c>
      <c r="H148">
        <v>2017</v>
      </c>
      <c r="I148" t="s">
        <v>10</v>
      </c>
      <c r="J148" t="s">
        <v>11</v>
      </c>
      <c r="K148" t="s">
        <v>8</v>
      </c>
      <c r="L148" t="str">
        <f t="shared" si="2"/>
        <v>2017JanuaryCombined</v>
      </c>
      <c r="M148">
        <v>68.629009999999994</v>
      </c>
      <c r="N148">
        <v>68.599999999999994</v>
      </c>
    </row>
    <row r="149" spans="1:14" x14ac:dyDescent="0.25">
      <c r="A149" s="1">
        <v>2017</v>
      </c>
      <c r="B149" s="1" t="s">
        <v>14</v>
      </c>
      <c r="C149" s="1" t="s">
        <v>11</v>
      </c>
      <c r="D149" s="1" t="s">
        <v>6</v>
      </c>
      <c r="E149" s="1">
        <v>69.243719999999996</v>
      </c>
      <c r="H149">
        <v>2017</v>
      </c>
      <c r="I149" t="s">
        <v>14</v>
      </c>
      <c r="J149" t="s">
        <v>11</v>
      </c>
      <c r="K149" t="s">
        <v>6</v>
      </c>
      <c r="L149" t="str">
        <f t="shared" si="2"/>
        <v>2017FebruaryRural</v>
      </c>
      <c r="M149">
        <v>69.243719999999996</v>
      </c>
      <c r="N149">
        <v>69.2</v>
      </c>
    </row>
    <row r="150" spans="1:14" x14ac:dyDescent="0.25">
      <c r="A150" s="1">
        <v>2017</v>
      </c>
      <c r="B150" s="1" t="s">
        <v>14</v>
      </c>
      <c r="C150" s="1" t="s">
        <v>11</v>
      </c>
      <c r="D150" s="1" t="s">
        <v>7</v>
      </c>
      <c r="E150" s="1">
        <v>68.202399999999997</v>
      </c>
      <c r="H150">
        <v>2017</v>
      </c>
      <c r="I150" t="s">
        <v>14</v>
      </c>
      <c r="J150" t="s">
        <v>11</v>
      </c>
      <c r="K150" t="s">
        <v>7</v>
      </c>
      <c r="L150" t="str">
        <f t="shared" si="2"/>
        <v>2017FebruaryUrban</v>
      </c>
      <c r="M150">
        <v>68.202399999999997</v>
      </c>
      <c r="N150">
        <v>68.2</v>
      </c>
    </row>
    <row r="151" spans="1:14" x14ac:dyDescent="0.25">
      <c r="A151" s="1">
        <v>2017</v>
      </c>
      <c r="B151" s="1" t="s">
        <v>14</v>
      </c>
      <c r="C151" s="1" t="s">
        <v>11</v>
      </c>
      <c r="D151" s="1" t="s">
        <v>8</v>
      </c>
      <c r="E151" s="1">
        <v>68.787019999999984</v>
      </c>
      <c r="H151">
        <v>2017</v>
      </c>
      <c r="I151" t="s">
        <v>14</v>
      </c>
      <c r="J151" t="s">
        <v>11</v>
      </c>
      <c r="K151" t="s">
        <v>8</v>
      </c>
      <c r="L151" t="str">
        <f t="shared" si="2"/>
        <v>2017FebruaryCombined</v>
      </c>
      <c r="M151">
        <v>68.787019999999984</v>
      </c>
      <c r="N151">
        <v>68.8</v>
      </c>
    </row>
    <row r="152" spans="1:14" x14ac:dyDescent="0.25">
      <c r="A152" s="1">
        <v>2017</v>
      </c>
      <c r="B152" s="1" t="s">
        <v>15</v>
      </c>
      <c r="C152" s="1" t="s">
        <v>11</v>
      </c>
      <c r="D152" s="1" t="s">
        <v>6</v>
      </c>
      <c r="E152" s="1">
        <v>69.348160000000007</v>
      </c>
      <c r="H152">
        <v>2017</v>
      </c>
      <c r="I152" t="s">
        <v>15</v>
      </c>
      <c r="J152" t="s">
        <v>11</v>
      </c>
      <c r="K152" t="s">
        <v>6</v>
      </c>
      <c r="L152" t="str">
        <f t="shared" si="2"/>
        <v>2017MarchRural</v>
      </c>
      <c r="M152">
        <v>69.348160000000007</v>
      </c>
      <c r="N152">
        <v>69.3</v>
      </c>
    </row>
    <row r="153" spans="1:14" x14ac:dyDescent="0.25">
      <c r="A153" s="1">
        <v>2017</v>
      </c>
      <c r="B153" s="1" t="s">
        <v>15</v>
      </c>
      <c r="C153" s="1" t="s">
        <v>11</v>
      </c>
      <c r="D153" s="1" t="s">
        <v>7</v>
      </c>
      <c r="E153" s="1">
        <v>68.468400000000003</v>
      </c>
      <c r="H153">
        <v>2017</v>
      </c>
      <c r="I153" t="s">
        <v>15</v>
      </c>
      <c r="J153" t="s">
        <v>11</v>
      </c>
      <c r="K153" t="s">
        <v>7</v>
      </c>
      <c r="L153" t="str">
        <f t="shared" si="2"/>
        <v>2017MarchUrban</v>
      </c>
      <c r="M153">
        <v>68.468400000000003</v>
      </c>
      <c r="N153">
        <v>68.5</v>
      </c>
    </row>
    <row r="154" spans="1:14" x14ac:dyDescent="0.25">
      <c r="A154" s="1">
        <v>2017</v>
      </c>
      <c r="B154" s="1" t="s">
        <v>15</v>
      </c>
      <c r="C154" s="1" t="s">
        <v>11</v>
      </c>
      <c r="D154" s="1" t="s">
        <v>8</v>
      </c>
      <c r="E154" s="1">
        <v>68.945030000000003</v>
      </c>
      <c r="H154">
        <v>2017</v>
      </c>
      <c r="I154" t="s">
        <v>15</v>
      </c>
      <c r="J154" t="s">
        <v>11</v>
      </c>
      <c r="K154" t="s">
        <v>8</v>
      </c>
      <c r="L154" t="str">
        <f t="shared" si="2"/>
        <v>2017MarchCombined</v>
      </c>
      <c r="M154">
        <v>68.945030000000003</v>
      </c>
      <c r="N154">
        <v>68.900000000000006</v>
      </c>
    </row>
    <row r="155" spans="1:14" x14ac:dyDescent="0.25">
      <c r="A155" s="1">
        <v>2017</v>
      </c>
      <c r="B155" s="1" t="s">
        <v>16</v>
      </c>
      <c r="C155" s="1" t="s">
        <v>11</v>
      </c>
      <c r="D155" s="1" t="s">
        <v>6</v>
      </c>
      <c r="E155" s="1">
        <v>69.400379999999998</v>
      </c>
      <c r="H155">
        <v>2017</v>
      </c>
      <c r="I155" t="s">
        <v>16</v>
      </c>
      <c r="J155" t="s">
        <v>11</v>
      </c>
      <c r="K155" t="s">
        <v>6</v>
      </c>
      <c r="L155" t="str">
        <f t="shared" si="2"/>
        <v>2017AprilRural</v>
      </c>
      <c r="M155">
        <v>69.400379999999998</v>
      </c>
      <c r="N155">
        <v>69.400000000000006</v>
      </c>
    </row>
    <row r="156" spans="1:14" x14ac:dyDescent="0.25">
      <c r="A156" s="1">
        <v>2017</v>
      </c>
      <c r="B156" s="1" t="s">
        <v>16</v>
      </c>
      <c r="C156" s="1" t="s">
        <v>11</v>
      </c>
      <c r="D156" s="1" t="s">
        <v>7</v>
      </c>
      <c r="E156" s="1">
        <v>68.681200000000004</v>
      </c>
      <c r="H156">
        <v>2017</v>
      </c>
      <c r="I156" t="s">
        <v>16</v>
      </c>
      <c r="J156" t="s">
        <v>11</v>
      </c>
      <c r="K156" t="s">
        <v>7</v>
      </c>
      <c r="L156" t="str">
        <f t="shared" si="2"/>
        <v>2017AprilUrban</v>
      </c>
      <c r="M156">
        <v>68.681200000000004</v>
      </c>
      <c r="N156">
        <v>68.7</v>
      </c>
    </row>
    <row r="157" spans="1:14" x14ac:dyDescent="0.25">
      <c r="A157" s="1">
        <v>2017</v>
      </c>
      <c r="B157" s="1" t="s">
        <v>16</v>
      </c>
      <c r="C157" s="1" t="s">
        <v>11</v>
      </c>
      <c r="D157" s="1" t="s">
        <v>8</v>
      </c>
      <c r="E157" s="1">
        <v>69.050369999999987</v>
      </c>
      <c r="H157">
        <v>2017</v>
      </c>
      <c r="I157" t="s">
        <v>16</v>
      </c>
      <c r="J157" t="s">
        <v>11</v>
      </c>
      <c r="K157" t="s">
        <v>8</v>
      </c>
      <c r="L157" t="str">
        <f t="shared" si="2"/>
        <v>2017AprilCombined</v>
      </c>
      <c r="M157">
        <v>69.050369999999987</v>
      </c>
      <c r="N157">
        <v>69.099999999999994</v>
      </c>
    </row>
    <row r="158" spans="1:14" x14ac:dyDescent="0.25">
      <c r="A158" s="1">
        <v>2017</v>
      </c>
      <c r="B158" s="1" t="s">
        <v>17</v>
      </c>
      <c r="C158" s="1" t="s">
        <v>11</v>
      </c>
      <c r="D158" s="1" t="s">
        <v>6</v>
      </c>
      <c r="E158" s="1">
        <v>69.609260000000006</v>
      </c>
      <c r="H158">
        <v>2017</v>
      </c>
      <c r="I158" t="s">
        <v>17</v>
      </c>
      <c r="J158" t="s">
        <v>11</v>
      </c>
      <c r="K158" t="s">
        <v>6</v>
      </c>
      <c r="L158" t="str">
        <f t="shared" si="2"/>
        <v>2017MayRural</v>
      </c>
      <c r="M158">
        <v>69.609260000000006</v>
      </c>
      <c r="N158">
        <v>69.599999999999994</v>
      </c>
    </row>
    <row r="159" spans="1:14" x14ac:dyDescent="0.25">
      <c r="A159" s="1">
        <v>2017</v>
      </c>
      <c r="B159" s="1" t="s">
        <v>17</v>
      </c>
      <c r="C159" s="1" t="s">
        <v>11</v>
      </c>
      <c r="D159" s="1" t="s">
        <v>7</v>
      </c>
      <c r="E159" s="1">
        <v>68.787600000000012</v>
      </c>
      <c r="H159">
        <v>2017</v>
      </c>
      <c r="I159" t="s">
        <v>17</v>
      </c>
      <c r="J159" t="s">
        <v>11</v>
      </c>
      <c r="K159" t="s">
        <v>7</v>
      </c>
      <c r="L159" t="str">
        <f t="shared" si="2"/>
        <v>2017MayUrban</v>
      </c>
      <c r="M159">
        <v>68.787600000000012</v>
      </c>
      <c r="N159">
        <v>68.8</v>
      </c>
    </row>
    <row r="160" spans="1:14" x14ac:dyDescent="0.25">
      <c r="A160" s="1">
        <v>2017</v>
      </c>
      <c r="B160" s="1" t="s">
        <v>17</v>
      </c>
      <c r="C160" s="1" t="s">
        <v>11</v>
      </c>
      <c r="D160" s="1" t="s">
        <v>8</v>
      </c>
      <c r="E160" s="1">
        <v>69.208379999999991</v>
      </c>
      <c r="H160">
        <v>2017</v>
      </c>
      <c r="I160" t="s">
        <v>17</v>
      </c>
      <c r="J160" t="s">
        <v>11</v>
      </c>
      <c r="K160" t="s">
        <v>8</v>
      </c>
      <c r="L160" t="str">
        <f t="shared" si="2"/>
        <v>2017MayCombined</v>
      </c>
      <c r="M160">
        <v>69.208379999999991</v>
      </c>
      <c r="N160">
        <v>69.2</v>
      </c>
    </row>
    <row r="161" spans="1:14" x14ac:dyDescent="0.25">
      <c r="A161" s="1">
        <v>2017</v>
      </c>
      <c r="B161" s="1" t="s">
        <v>18</v>
      </c>
      <c r="C161" s="1" t="s">
        <v>11</v>
      </c>
      <c r="D161" s="1" t="s">
        <v>6</v>
      </c>
      <c r="E161" s="1">
        <v>69.922579999999996</v>
      </c>
      <c r="H161">
        <v>2017</v>
      </c>
      <c r="I161" t="s">
        <v>18</v>
      </c>
      <c r="J161" t="s">
        <v>11</v>
      </c>
      <c r="K161" t="s">
        <v>6</v>
      </c>
      <c r="L161" t="str">
        <f t="shared" si="2"/>
        <v>2017JuneRural</v>
      </c>
      <c r="M161">
        <v>69.922579999999996</v>
      </c>
      <c r="N161">
        <v>69.900000000000006</v>
      </c>
    </row>
    <row r="162" spans="1:14" x14ac:dyDescent="0.25">
      <c r="A162" s="1">
        <v>2017</v>
      </c>
      <c r="B162" s="1" t="s">
        <v>18</v>
      </c>
      <c r="C162" s="1" t="s">
        <v>11</v>
      </c>
      <c r="D162" s="1" t="s">
        <v>7</v>
      </c>
      <c r="E162" s="1">
        <v>69.106800000000007</v>
      </c>
      <c r="H162">
        <v>2017</v>
      </c>
      <c r="I162" t="s">
        <v>18</v>
      </c>
      <c r="J162" t="s">
        <v>11</v>
      </c>
      <c r="K162" t="s">
        <v>7</v>
      </c>
      <c r="L162" t="str">
        <f t="shared" si="2"/>
        <v>2017JuneUrban</v>
      </c>
      <c r="M162">
        <v>69.106800000000007</v>
      </c>
      <c r="N162">
        <v>69.099999999999994</v>
      </c>
    </row>
    <row r="163" spans="1:14" x14ac:dyDescent="0.25">
      <c r="A163" s="1">
        <v>2017</v>
      </c>
      <c r="B163" s="1" t="s">
        <v>18</v>
      </c>
      <c r="C163" s="1" t="s">
        <v>11</v>
      </c>
      <c r="D163" s="1" t="s">
        <v>8</v>
      </c>
      <c r="E163" s="1">
        <v>69.524399999999986</v>
      </c>
      <c r="H163">
        <v>2017</v>
      </c>
      <c r="I163" t="s">
        <v>18</v>
      </c>
      <c r="J163" t="s">
        <v>11</v>
      </c>
      <c r="K163" t="s">
        <v>8</v>
      </c>
      <c r="L163" t="str">
        <f t="shared" si="2"/>
        <v>2017JuneCombined</v>
      </c>
      <c r="M163">
        <v>69.524399999999986</v>
      </c>
      <c r="N163">
        <v>69.5</v>
      </c>
    </row>
    <row r="164" spans="1:14" x14ac:dyDescent="0.25">
      <c r="A164" s="1">
        <v>2017</v>
      </c>
      <c r="B164" s="1" t="s">
        <v>19</v>
      </c>
      <c r="C164" s="1" t="s">
        <v>11</v>
      </c>
      <c r="D164" s="1" t="s">
        <v>6</v>
      </c>
      <c r="E164" s="1">
        <v>71.123639999999995</v>
      </c>
      <c r="H164">
        <v>2017</v>
      </c>
      <c r="I164" t="s">
        <v>19</v>
      </c>
      <c r="J164" t="s">
        <v>11</v>
      </c>
      <c r="K164" t="s">
        <v>6</v>
      </c>
      <c r="L164" t="str">
        <f t="shared" si="2"/>
        <v>2017JulyRural</v>
      </c>
      <c r="M164">
        <v>71.123639999999995</v>
      </c>
      <c r="N164">
        <v>71.099999999999994</v>
      </c>
    </row>
    <row r="165" spans="1:14" x14ac:dyDescent="0.25">
      <c r="A165" s="1">
        <v>2017</v>
      </c>
      <c r="B165" s="1" t="s">
        <v>19</v>
      </c>
      <c r="C165" s="1" t="s">
        <v>11</v>
      </c>
      <c r="D165" s="1" t="s">
        <v>7</v>
      </c>
      <c r="E165" s="1">
        <v>70.11760000000001</v>
      </c>
      <c r="H165">
        <v>2017</v>
      </c>
      <c r="I165" t="s">
        <v>19</v>
      </c>
      <c r="J165" t="s">
        <v>11</v>
      </c>
      <c r="K165" t="s">
        <v>7</v>
      </c>
      <c r="L165" t="str">
        <f t="shared" si="2"/>
        <v>2017JulyUrban</v>
      </c>
      <c r="M165">
        <v>70.11760000000001</v>
      </c>
      <c r="N165">
        <v>70.099999999999994</v>
      </c>
    </row>
    <row r="166" spans="1:14" x14ac:dyDescent="0.25">
      <c r="A166" s="1">
        <v>2017</v>
      </c>
      <c r="B166" s="1" t="s">
        <v>19</v>
      </c>
      <c r="C166" s="1" t="s">
        <v>11</v>
      </c>
      <c r="D166" s="1" t="s">
        <v>8</v>
      </c>
      <c r="E166" s="1">
        <v>70.68313999999998</v>
      </c>
      <c r="H166">
        <v>2017</v>
      </c>
      <c r="I166" t="s">
        <v>19</v>
      </c>
      <c r="J166" t="s">
        <v>11</v>
      </c>
      <c r="K166" t="s">
        <v>8</v>
      </c>
      <c r="L166" t="str">
        <f t="shared" si="2"/>
        <v>2017JulyCombined</v>
      </c>
      <c r="M166">
        <v>70.68313999999998</v>
      </c>
      <c r="N166">
        <v>70.7</v>
      </c>
    </row>
    <row r="167" spans="1:14" x14ac:dyDescent="0.25">
      <c r="A167" s="1">
        <v>2017</v>
      </c>
      <c r="B167" s="1" t="s">
        <v>20</v>
      </c>
      <c r="C167" s="1" t="s">
        <v>11</v>
      </c>
      <c r="D167" s="1" t="s">
        <v>6</v>
      </c>
      <c r="E167" s="1">
        <v>71.959160000000011</v>
      </c>
      <c r="H167">
        <v>2017</v>
      </c>
      <c r="I167" t="s">
        <v>20</v>
      </c>
      <c r="J167" t="s">
        <v>11</v>
      </c>
      <c r="K167" t="s">
        <v>6</v>
      </c>
      <c r="L167" t="str">
        <f t="shared" si="2"/>
        <v>2017AugustRural</v>
      </c>
      <c r="M167">
        <v>71.959160000000011</v>
      </c>
      <c r="N167">
        <v>72</v>
      </c>
    </row>
    <row r="168" spans="1:14" x14ac:dyDescent="0.25">
      <c r="A168" s="1">
        <v>2017</v>
      </c>
      <c r="B168" s="1" t="s">
        <v>20</v>
      </c>
      <c r="C168" s="1" t="s">
        <v>11</v>
      </c>
      <c r="D168" s="1" t="s">
        <v>7</v>
      </c>
      <c r="E168" s="1">
        <v>70.596400000000003</v>
      </c>
      <c r="H168">
        <v>2017</v>
      </c>
      <c r="I168" t="s">
        <v>20</v>
      </c>
      <c r="J168" t="s">
        <v>11</v>
      </c>
      <c r="K168" t="s">
        <v>7</v>
      </c>
      <c r="L168" t="str">
        <f t="shared" si="2"/>
        <v>2017AugustUrban</v>
      </c>
      <c r="M168">
        <v>70.596400000000003</v>
      </c>
      <c r="N168">
        <v>70.599999999999994</v>
      </c>
    </row>
    <row r="169" spans="1:14" x14ac:dyDescent="0.25">
      <c r="A169" s="1">
        <v>2017</v>
      </c>
      <c r="B169" s="1" t="s">
        <v>20</v>
      </c>
      <c r="C169" s="1" t="s">
        <v>11</v>
      </c>
      <c r="D169" s="1" t="s">
        <v>8</v>
      </c>
      <c r="E169" s="1">
        <v>71.315179999999998</v>
      </c>
      <c r="H169">
        <v>2017</v>
      </c>
      <c r="I169" t="s">
        <v>20</v>
      </c>
      <c r="J169" t="s">
        <v>11</v>
      </c>
      <c r="K169" t="s">
        <v>8</v>
      </c>
      <c r="L169" t="str">
        <f t="shared" si="2"/>
        <v>2017AugustCombined</v>
      </c>
      <c r="M169">
        <v>71.315179999999998</v>
      </c>
      <c r="N169">
        <v>71.3</v>
      </c>
    </row>
    <row r="170" spans="1:14" x14ac:dyDescent="0.25">
      <c r="A170" s="1">
        <v>2017</v>
      </c>
      <c r="B170" s="1" t="s">
        <v>21</v>
      </c>
      <c r="C170" s="1" t="s">
        <v>11</v>
      </c>
      <c r="D170" s="1" t="s">
        <v>6</v>
      </c>
      <c r="E170" s="1">
        <v>71.85472</v>
      </c>
      <c r="H170">
        <v>2017</v>
      </c>
      <c r="I170" t="s">
        <v>21</v>
      </c>
      <c r="J170" t="s">
        <v>11</v>
      </c>
      <c r="K170" t="s">
        <v>6</v>
      </c>
      <c r="L170" t="str">
        <f t="shared" si="2"/>
        <v>2017SeptemberRural</v>
      </c>
      <c r="M170">
        <v>71.85472</v>
      </c>
      <c r="N170">
        <v>71.900000000000006</v>
      </c>
    </row>
    <row r="171" spans="1:14" x14ac:dyDescent="0.25">
      <c r="A171" s="1">
        <v>2017</v>
      </c>
      <c r="B171" s="1" t="s">
        <v>21</v>
      </c>
      <c r="C171" s="1" t="s">
        <v>11</v>
      </c>
      <c r="D171" s="1" t="s">
        <v>7</v>
      </c>
      <c r="E171" s="1">
        <v>70.436800000000005</v>
      </c>
      <c r="H171">
        <v>2017</v>
      </c>
      <c r="I171" t="s">
        <v>21</v>
      </c>
      <c r="J171" t="s">
        <v>11</v>
      </c>
      <c r="K171" t="s">
        <v>7</v>
      </c>
      <c r="L171" t="str">
        <f t="shared" si="2"/>
        <v>2017SeptemberUrban</v>
      </c>
      <c r="M171">
        <v>70.436800000000005</v>
      </c>
      <c r="N171">
        <v>70.400000000000006</v>
      </c>
    </row>
    <row r="172" spans="1:14" x14ac:dyDescent="0.25">
      <c r="A172" s="1">
        <v>2017</v>
      </c>
      <c r="B172" s="1" t="s">
        <v>21</v>
      </c>
      <c r="C172" s="1" t="s">
        <v>11</v>
      </c>
      <c r="D172" s="1" t="s">
        <v>8</v>
      </c>
      <c r="E172" s="1">
        <v>71.209839999999986</v>
      </c>
      <c r="H172">
        <v>2017</v>
      </c>
      <c r="I172" t="s">
        <v>21</v>
      </c>
      <c r="J172" t="s">
        <v>11</v>
      </c>
      <c r="K172" t="s">
        <v>8</v>
      </c>
      <c r="L172" t="str">
        <f t="shared" si="2"/>
        <v>2017SeptemberCombined</v>
      </c>
      <c r="M172">
        <v>71.209839999999986</v>
      </c>
      <c r="N172">
        <v>71.2</v>
      </c>
    </row>
    <row r="173" spans="1:14" x14ac:dyDescent="0.25">
      <c r="A173" s="1">
        <v>2017</v>
      </c>
      <c r="B173" s="1" t="s">
        <v>22</v>
      </c>
      <c r="C173" s="1" t="s">
        <v>11</v>
      </c>
      <c r="D173" s="1" t="s">
        <v>6</v>
      </c>
      <c r="E173" s="1">
        <v>72.22026000000001</v>
      </c>
      <c r="H173">
        <v>2017</v>
      </c>
      <c r="I173" t="s">
        <v>22</v>
      </c>
      <c r="J173" t="s">
        <v>11</v>
      </c>
      <c r="K173" t="s">
        <v>6</v>
      </c>
      <c r="L173" t="str">
        <f t="shared" si="2"/>
        <v>2017OctoberRural</v>
      </c>
      <c r="M173">
        <v>72.22026000000001</v>
      </c>
      <c r="N173">
        <v>72.2</v>
      </c>
    </row>
    <row r="174" spans="1:14" x14ac:dyDescent="0.25">
      <c r="A174" s="1">
        <v>2017</v>
      </c>
      <c r="B174" s="1" t="s">
        <v>22</v>
      </c>
      <c r="C174" s="1" t="s">
        <v>11</v>
      </c>
      <c r="D174" s="1" t="s">
        <v>7</v>
      </c>
      <c r="E174" s="1">
        <v>71.022000000000006</v>
      </c>
      <c r="H174">
        <v>2017</v>
      </c>
      <c r="I174" t="s">
        <v>22</v>
      </c>
      <c r="J174" t="s">
        <v>11</v>
      </c>
      <c r="K174" t="s">
        <v>7</v>
      </c>
      <c r="L174" t="str">
        <f t="shared" si="2"/>
        <v>2017OctoberUrban</v>
      </c>
      <c r="M174">
        <v>71.022000000000006</v>
      </c>
      <c r="N174">
        <v>71</v>
      </c>
    </row>
    <row r="175" spans="1:14" x14ac:dyDescent="0.25">
      <c r="A175" s="1">
        <v>2017</v>
      </c>
      <c r="B175" s="1" t="s">
        <v>22</v>
      </c>
      <c r="C175" s="1" t="s">
        <v>11</v>
      </c>
      <c r="D175" s="1" t="s">
        <v>8</v>
      </c>
      <c r="E175" s="1">
        <v>71.683869999999985</v>
      </c>
      <c r="H175">
        <v>2017</v>
      </c>
      <c r="I175" t="s">
        <v>22</v>
      </c>
      <c r="J175" t="s">
        <v>11</v>
      </c>
      <c r="K175" t="s">
        <v>8</v>
      </c>
      <c r="L175" t="str">
        <f t="shared" si="2"/>
        <v>2017OctoberCombined</v>
      </c>
      <c r="M175">
        <v>71.683869999999985</v>
      </c>
      <c r="N175">
        <v>71.7</v>
      </c>
    </row>
    <row r="176" spans="1:14" x14ac:dyDescent="0.25">
      <c r="A176" s="1">
        <v>2017</v>
      </c>
      <c r="B176" s="1" t="s">
        <v>23</v>
      </c>
      <c r="C176" s="1" t="s">
        <v>11</v>
      </c>
      <c r="D176" s="1" t="s">
        <v>6</v>
      </c>
      <c r="E176" s="1">
        <v>73.108000000000004</v>
      </c>
      <c r="H176">
        <v>2017</v>
      </c>
      <c r="I176" t="s">
        <v>23</v>
      </c>
      <c r="J176" t="s">
        <v>11</v>
      </c>
      <c r="K176" t="s">
        <v>6</v>
      </c>
      <c r="L176" t="str">
        <f t="shared" si="2"/>
        <v>2017NovemberRural</v>
      </c>
      <c r="M176">
        <v>73.108000000000004</v>
      </c>
      <c r="N176">
        <v>73.099999999999994</v>
      </c>
    </row>
    <row r="177" spans="1:14" x14ac:dyDescent="0.25">
      <c r="A177" s="1">
        <v>2017</v>
      </c>
      <c r="B177" s="1" t="s">
        <v>23</v>
      </c>
      <c r="C177" s="1" t="s">
        <v>11</v>
      </c>
      <c r="D177" s="1" t="s">
        <v>7</v>
      </c>
      <c r="E177" s="1">
        <v>71.713600000000014</v>
      </c>
      <c r="H177">
        <v>2017</v>
      </c>
      <c r="I177" t="s">
        <v>23</v>
      </c>
      <c r="J177" t="s">
        <v>11</v>
      </c>
      <c r="K177" t="s">
        <v>7</v>
      </c>
      <c r="L177" t="str">
        <f t="shared" si="2"/>
        <v>2017NovemberUrban</v>
      </c>
      <c r="M177">
        <v>71.713600000000014</v>
      </c>
      <c r="N177">
        <v>71.7</v>
      </c>
    </row>
    <row r="178" spans="1:14" x14ac:dyDescent="0.25">
      <c r="A178" s="1">
        <v>2017</v>
      </c>
      <c r="B178" s="1" t="s">
        <v>23</v>
      </c>
      <c r="C178" s="1" t="s">
        <v>11</v>
      </c>
      <c r="D178" s="1" t="s">
        <v>8</v>
      </c>
      <c r="E178" s="1">
        <v>72.473919999999993</v>
      </c>
      <c r="H178">
        <v>2017</v>
      </c>
      <c r="I178" t="s">
        <v>23</v>
      </c>
      <c r="J178" t="s">
        <v>11</v>
      </c>
      <c r="K178" t="s">
        <v>8</v>
      </c>
      <c r="L178" t="str">
        <f t="shared" si="2"/>
        <v>2017NovemberCombined</v>
      </c>
      <c r="M178">
        <v>72.473919999999993</v>
      </c>
      <c r="N178">
        <v>72.5</v>
      </c>
    </row>
    <row r="179" spans="1:14" x14ac:dyDescent="0.25">
      <c r="A179" s="1">
        <v>2017</v>
      </c>
      <c r="B179" s="1" t="s">
        <v>24</v>
      </c>
      <c r="C179" s="1" t="s">
        <v>11</v>
      </c>
      <c r="D179" s="1" t="s">
        <v>6</v>
      </c>
      <c r="E179" s="1">
        <v>73.003560000000007</v>
      </c>
      <c r="H179">
        <v>2017</v>
      </c>
      <c r="I179" t="s">
        <v>24</v>
      </c>
      <c r="J179" t="s">
        <v>11</v>
      </c>
      <c r="K179" t="s">
        <v>6</v>
      </c>
      <c r="L179" t="str">
        <f t="shared" si="2"/>
        <v>2017DecemberRural</v>
      </c>
      <c r="M179">
        <v>73.003560000000007</v>
      </c>
      <c r="N179">
        <v>73</v>
      </c>
    </row>
    <row r="180" spans="1:14" x14ac:dyDescent="0.25">
      <c r="A180" s="1">
        <v>2017</v>
      </c>
      <c r="B180" s="1" t="s">
        <v>24</v>
      </c>
      <c r="C180" s="1" t="s">
        <v>11</v>
      </c>
      <c r="D180" s="1" t="s">
        <v>7</v>
      </c>
      <c r="E180" s="1">
        <v>71.341200000000001</v>
      </c>
      <c r="H180">
        <v>2017</v>
      </c>
      <c r="I180" t="s">
        <v>24</v>
      </c>
      <c r="J180" t="s">
        <v>11</v>
      </c>
      <c r="K180" t="s">
        <v>7</v>
      </c>
      <c r="L180" t="str">
        <f t="shared" si="2"/>
        <v>2017DecemberUrban</v>
      </c>
      <c r="M180">
        <v>71.341200000000001</v>
      </c>
      <c r="N180">
        <v>71.3</v>
      </c>
    </row>
    <row r="181" spans="1:14" x14ac:dyDescent="0.25">
      <c r="A181" s="1">
        <v>2017</v>
      </c>
      <c r="B181" s="1" t="s">
        <v>24</v>
      </c>
      <c r="C181" s="1" t="s">
        <v>11</v>
      </c>
      <c r="D181" s="1" t="s">
        <v>8</v>
      </c>
      <c r="E181" s="1">
        <v>72.263239999999982</v>
      </c>
      <c r="H181">
        <v>2017</v>
      </c>
      <c r="I181" t="s">
        <v>24</v>
      </c>
      <c r="J181" t="s">
        <v>11</v>
      </c>
      <c r="K181" t="s">
        <v>8</v>
      </c>
      <c r="L181" t="str">
        <f t="shared" si="2"/>
        <v>2017DecemberCombined</v>
      </c>
      <c r="M181">
        <v>72.263239999999982</v>
      </c>
      <c r="N181">
        <v>72.3</v>
      </c>
    </row>
    <row r="182" spans="1:14" x14ac:dyDescent="0.25">
      <c r="A182" s="1">
        <v>2018</v>
      </c>
      <c r="B182" s="1" t="s">
        <v>10</v>
      </c>
      <c r="C182" s="1" t="s">
        <v>11</v>
      </c>
      <c r="D182" s="1" t="s">
        <v>6</v>
      </c>
      <c r="E182" s="1">
        <v>72.742460000000008</v>
      </c>
      <c r="H182">
        <v>2018</v>
      </c>
      <c r="I182" t="s">
        <v>10</v>
      </c>
      <c r="J182" t="s">
        <v>11</v>
      </c>
      <c r="K182" t="s">
        <v>6</v>
      </c>
      <c r="L182" t="str">
        <f t="shared" si="2"/>
        <v>2018JanuaryRural</v>
      </c>
      <c r="M182">
        <v>72.742460000000008</v>
      </c>
      <c r="N182">
        <v>72.7</v>
      </c>
    </row>
    <row r="183" spans="1:14" x14ac:dyDescent="0.25">
      <c r="A183" s="1">
        <v>2018</v>
      </c>
      <c r="B183" s="1" t="s">
        <v>10</v>
      </c>
      <c r="C183" s="1" t="s">
        <v>11</v>
      </c>
      <c r="D183" s="1" t="s">
        <v>7</v>
      </c>
      <c r="E183" s="1">
        <v>71.341200000000001</v>
      </c>
      <c r="H183">
        <v>2018</v>
      </c>
      <c r="I183" t="s">
        <v>10</v>
      </c>
      <c r="J183" t="s">
        <v>11</v>
      </c>
      <c r="K183" t="s">
        <v>7</v>
      </c>
      <c r="L183" t="str">
        <f t="shared" si="2"/>
        <v>2018JanuaryUrban</v>
      </c>
      <c r="M183">
        <v>71.341200000000001</v>
      </c>
      <c r="N183">
        <v>71.3</v>
      </c>
    </row>
    <row r="184" spans="1:14" x14ac:dyDescent="0.25">
      <c r="A184" s="1">
        <v>2018</v>
      </c>
      <c r="B184" s="1" t="s">
        <v>10</v>
      </c>
      <c r="C184" s="1" t="s">
        <v>11</v>
      </c>
      <c r="D184" s="1" t="s">
        <v>8</v>
      </c>
      <c r="E184" s="1">
        <v>72.105229999999992</v>
      </c>
      <c r="H184">
        <v>2018</v>
      </c>
      <c r="I184" t="s">
        <v>10</v>
      </c>
      <c r="J184" t="s">
        <v>11</v>
      </c>
      <c r="K184" t="s">
        <v>8</v>
      </c>
      <c r="L184" t="str">
        <f t="shared" si="2"/>
        <v>2018JanuaryCombined</v>
      </c>
      <c r="M184">
        <v>72.105229999999992</v>
      </c>
      <c r="N184">
        <v>72.099999999999994</v>
      </c>
    </row>
    <row r="185" spans="1:14" x14ac:dyDescent="0.25">
      <c r="A185" s="1">
        <v>2018</v>
      </c>
      <c r="B185" s="1" t="s">
        <v>14</v>
      </c>
      <c r="C185" s="1" t="s">
        <v>11</v>
      </c>
      <c r="D185" s="1" t="s">
        <v>6</v>
      </c>
      <c r="E185" s="1">
        <v>72.324699999999993</v>
      </c>
      <c r="H185">
        <v>2018</v>
      </c>
      <c r="I185" t="s">
        <v>14</v>
      </c>
      <c r="J185" t="s">
        <v>11</v>
      </c>
      <c r="K185" t="s">
        <v>6</v>
      </c>
      <c r="L185" t="str">
        <f t="shared" si="2"/>
        <v>2018FebruaryRural</v>
      </c>
      <c r="M185">
        <v>72.324699999999993</v>
      </c>
      <c r="N185">
        <v>72.3</v>
      </c>
    </row>
    <row r="186" spans="1:14" x14ac:dyDescent="0.25">
      <c r="A186" s="1">
        <v>2018</v>
      </c>
      <c r="B186" s="1" t="s">
        <v>14</v>
      </c>
      <c r="C186" s="1" t="s">
        <v>11</v>
      </c>
      <c r="D186" s="1" t="s">
        <v>7</v>
      </c>
      <c r="E186" s="1">
        <v>71.288000000000011</v>
      </c>
      <c r="H186">
        <v>2018</v>
      </c>
      <c r="I186" t="s">
        <v>14</v>
      </c>
      <c r="J186" t="s">
        <v>11</v>
      </c>
      <c r="K186" t="s">
        <v>7</v>
      </c>
      <c r="L186" t="str">
        <f t="shared" si="2"/>
        <v>2018FebruaryUrban</v>
      </c>
      <c r="M186">
        <v>71.288000000000011</v>
      </c>
      <c r="N186">
        <v>71.3</v>
      </c>
    </row>
    <row r="187" spans="1:14" x14ac:dyDescent="0.25">
      <c r="A187" s="1">
        <v>2018</v>
      </c>
      <c r="B187" s="1" t="s">
        <v>14</v>
      </c>
      <c r="C187" s="1" t="s">
        <v>11</v>
      </c>
      <c r="D187" s="1" t="s">
        <v>8</v>
      </c>
      <c r="E187" s="1">
        <v>71.841879999999989</v>
      </c>
      <c r="H187">
        <v>2018</v>
      </c>
      <c r="I187" t="s">
        <v>14</v>
      </c>
      <c r="J187" t="s">
        <v>11</v>
      </c>
      <c r="K187" t="s">
        <v>8</v>
      </c>
      <c r="L187" t="str">
        <f t="shared" si="2"/>
        <v>2018FebruaryCombined</v>
      </c>
      <c r="M187">
        <v>71.841879999999989</v>
      </c>
      <c r="N187">
        <v>71.8</v>
      </c>
    </row>
    <row r="188" spans="1:14" x14ac:dyDescent="0.25">
      <c r="A188" s="1">
        <v>2018</v>
      </c>
      <c r="B188" s="1" t="s">
        <v>15</v>
      </c>
      <c r="C188" s="1" t="s">
        <v>11</v>
      </c>
      <c r="D188" s="1" t="s">
        <v>6</v>
      </c>
      <c r="E188" s="1">
        <v>72.42913999999999</v>
      </c>
      <c r="H188">
        <v>2018</v>
      </c>
      <c r="I188" t="s">
        <v>15</v>
      </c>
      <c r="J188" t="s">
        <v>11</v>
      </c>
      <c r="K188" t="s">
        <v>6</v>
      </c>
      <c r="L188" t="str">
        <f t="shared" si="2"/>
        <v>2018MarchRural</v>
      </c>
      <c r="M188">
        <v>72.42913999999999</v>
      </c>
      <c r="N188">
        <v>72.400000000000006</v>
      </c>
    </row>
    <row r="189" spans="1:14" x14ac:dyDescent="0.25">
      <c r="A189" s="1">
        <v>2018</v>
      </c>
      <c r="B189" s="1" t="s">
        <v>15</v>
      </c>
      <c r="C189" s="1" t="s">
        <v>11</v>
      </c>
      <c r="D189" s="1" t="s">
        <v>7</v>
      </c>
      <c r="E189" s="1">
        <v>71.288000000000011</v>
      </c>
      <c r="H189">
        <v>2018</v>
      </c>
      <c r="I189" t="s">
        <v>15</v>
      </c>
      <c r="J189" t="s">
        <v>11</v>
      </c>
      <c r="K189" t="s">
        <v>7</v>
      </c>
      <c r="L189" t="str">
        <f t="shared" si="2"/>
        <v>2018MarchUrban</v>
      </c>
      <c r="M189">
        <v>71.288000000000011</v>
      </c>
      <c r="N189">
        <v>71.3</v>
      </c>
    </row>
    <row r="190" spans="1:14" x14ac:dyDescent="0.25">
      <c r="A190" s="1">
        <v>2018</v>
      </c>
      <c r="B190" s="1" t="s">
        <v>15</v>
      </c>
      <c r="C190" s="1" t="s">
        <v>11</v>
      </c>
      <c r="D190" s="1" t="s">
        <v>8</v>
      </c>
      <c r="E190" s="1">
        <v>71.894549999999995</v>
      </c>
      <c r="H190">
        <v>2018</v>
      </c>
      <c r="I190" t="s">
        <v>15</v>
      </c>
      <c r="J190" t="s">
        <v>11</v>
      </c>
      <c r="K190" t="s">
        <v>8</v>
      </c>
      <c r="L190" t="str">
        <f t="shared" si="2"/>
        <v>2018MarchCombined</v>
      </c>
      <c r="M190">
        <v>71.894549999999995</v>
      </c>
      <c r="N190">
        <v>71.900000000000006</v>
      </c>
    </row>
    <row r="191" spans="1:14" x14ac:dyDescent="0.25">
      <c r="A191" s="1">
        <v>2018</v>
      </c>
      <c r="B191" s="1" t="s">
        <v>16</v>
      </c>
      <c r="C191" s="1" t="s">
        <v>11</v>
      </c>
      <c r="D191" s="1" t="s">
        <v>6</v>
      </c>
      <c r="E191" s="1">
        <v>72.638019999999997</v>
      </c>
      <c r="H191">
        <v>2018</v>
      </c>
      <c r="I191" t="s">
        <v>16</v>
      </c>
      <c r="J191" t="s">
        <v>11</v>
      </c>
      <c r="K191" t="s">
        <v>6</v>
      </c>
      <c r="L191" t="str">
        <f t="shared" si="2"/>
        <v>2018AprilRural</v>
      </c>
      <c r="M191">
        <v>72.638019999999997</v>
      </c>
      <c r="N191">
        <v>72.599999999999994</v>
      </c>
    </row>
    <row r="192" spans="1:14" x14ac:dyDescent="0.25">
      <c r="A192" s="1">
        <v>2018</v>
      </c>
      <c r="B192" s="1" t="s">
        <v>16</v>
      </c>
      <c r="C192" s="1" t="s">
        <v>11</v>
      </c>
      <c r="D192" s="1" t="s">
        <v>7</v>
      </c>
      <c r="E192" s="1">
        <v>71.713600000000014</v>
      </c>
      <c r="H192">
        <v>2018</v>
      </c>
      <c r="I192" t="s">
        <v>16</v>
      </c>
      <c r="J192" t="s">
        <v>11</v>
      </c>
      <c r="K192" t="s">
        <v>7</v>
      </c>
      <c r="L192" t="str">
        <f t="shared" si="2"/>
        <v>2018AprilUrban</v>
      </c>
      <c r="M192">
        <v>71.713600000000014</v>
      </c>
      <c r="N192">
        <v>71.7</v>
      </c>
    </row>
    <row r="193" spans="1:14" x14ac:dyDescent="0.25">
      <c r="A193" s="1">
        <v>2018</v>
      </c>
      <c r="B193" s="1" t="s">
        <v>16</v>
      </c>
      <c r="C193" s="1" t="s">
        <v>11</v>
      </c>
      <c r="D193" s="1" t="s">
        <v>8</v>
      </c>
      <c r="E193" s="1">
        <v>72.21056999999999</v>
      </c>
      <c r="H193">
        <v>2018</v>
      </c>
      <c r="I193" t="s">
        <v>16</v>
      </c>
      <c r="J193" t="s">
        <v>11</v>
      </c>
      <c r="K193" t="s">
        <v>8</v>
      </c>
      <c r="L193" t="str">
        <f t="shared" si="2"/>
        <v>2018AprilCombined</v>
      </c>
      <c r="M193">
        <v>72.21056999999999</v>
      </c>
      <c r="N193">
        <v>72.2</v>
      </c>
    </row>
    <row r="194" spans="1:14" x14ac:dyDescent="0.25">
      <c r="A194" s="1">
        <v>2018</v>
      </c>
      <c r="B194" s="1" t="s">
        <v>17</v>
      </c>
      <c r="C194" s="1" t="s">
        <v>11</v>
      </c>
      <c r="D194" s="1" t="s">
        <v>6</v>
      </c>
      <c r="E194" s="1">
        <v>73.003560000000007</v>
      </c>
      <c r="H194">
        <v>2018</v>
      </c>
      <c r="I194" t="s">
        <v>17</v>
      </c>
      <c r="J194" t="s">
        <v>11</v>
      </c>
      <c r="K194" t="s">
        <v>6</v>
      </c>
      <c r="L194" t="str">
        <f t="shared" si="2"/>
        <v>2018MayRural</v>
      </c>
      <c r="M194">
        <v>73.003560000000007</v>
      </c>
      <c r="N194">
        <v>73</v>
      </c>
    </row>
    <row r="195" spans="1:14" x14ac:dyDescent="0.25">
      <c r="A195" s="1">
        <v>2018</v>
      </c>
      <c r="B195" s="1" t="s">
        <v>17</v>
      </c>
      <c r="C195" s="1" t="s">
        <v>11</v>
      </c>
      <c r="D195" s="1" t="s">
        <v>7</v>
      </c>
      <c r="E195" s="1">
        <v>72.032800000000009</v>
      </c>
      <c r="H195">
        <v>2018</v>
      </c>
      <c r="I195" t="s">
        <v>17</v>
      </c>
      <c r="J195" t="s">
        <v>11</v>
      </c>
      <c r="K195" t="s">
        <v>7</v>
      </c>
      <c r="L195" t="str">
        <f t="shared" ref="L195:L258" si="3">CONCATENATE(H195,I195,K195)</f>
        <v>2018MayUrban</v>
      </c>
      <c r="M195">
        <v>72.032800000000009</v>
      </c>
      <c r="N195">
        <v>72</v>
      </c>
    </row>
    <row r="196" spans="1:14" x14ac:dyDescent="0.25">
      <c r="A196" s="1">
        <v>2018</v>
      </c>
      <c r="B196" s="1" t="s">
        <v>17</v>
      </c>
      <c r="C196" s="1" t="s">
        <v>11</v>
      </c>
      <c r="D196" s="1" t="s">
        <v>8</v>
      </c>
      <c r="E196" s="1">
        <v>72.579260000000005</v>
      </c>
      <c r="H196">
        <v>2018</v>
      </c>
      <c r="I196" t="s">
        <v>17</v>
      </c>
      <c r="J196" t="s">
        <v>11</v>
      </c>
      <c r="K196" t="s">
        <v>8</v>
      </c>
      <c r="L196" t="str">
        <f t="shared" si="3"/>
        <v>2018MayCombined</v>
      </c>
      <c r="M196">
        <v>72.579260000000005</v>
      </c>
      <c r="N196">
        <v>72.599999999999994</v>
      </c>
    </row>
    <row r="197" spans="1:14" x14ac:dyDescent="0.25">
      <c r="A197" s="1">
        <v>2018</v>
      </c>
      <c r="B197" s="1" t="s">
        <v>18</v>
      </c>
      <c r="C197" s="1" t="s">
        <v>11</v>
      </c>
      <c r="D197" s="1" t="s">
        <v>6</v>
      </c>
      <c r="E197" s="1">
        <v>73.369100000000003</v>
      </c>
      <c r="H197">
        <v>2018</v>
      </c>
      <c r="I197" t="s">
        <v>18</v>
      </c>
      <c r="J197" t="s">
        <v>11</v>
      </c>
      <c r="K197" t="s">
        <v>6</v>
      </c>
      <c r="L197" t="str">
        <f t="shared" si="3"/>
        <v>2018JuneRural</v>
      </c>
      <c r="M197">
        <v>73.369100000000003</v>
      </c>
      <c r="N197">
        <v>73.400000000000006</v>
      </c>
    </row>
    <row r="198" spans="1:14" x14ac:dyDescent="0.25">
      <c r="A198" s="1">
        <v>2018</v>
      </c>
      <c r="B198" s="1" t="s">
        <v>18</v>
      </c>
      <c r="C198" s="1" t="s">
        <v>11</v>
      </c>
      <c r="D198" s="1" t="s">
        <v>7</v>
      </c>
      <c r="E198" s="1">
        <v>72.458399999999997</v>
      </c>
      <c r="H198">
        <v>2018</v>
      </c>
      <c r="I198" t="s">
        <v>18</v>
      </c>
      <c r="J198" t="s">
        <v>11</v>
      </c>
      <c r="K198" t="s">
        <v>7</v>
      </c>
      <c r="L198" t="str">
        <f t="shared" si="3"/>
        <v>2018JuneUrban</v>
      </c>
      <c r="M198">
        <v>72.458399999999997</v>
      </c>
      <c r="N198">
        <v>72.5</v>
      </c>
    </row>
    <row r="199" spans="1:14" x14ac:dyDescent="0.25">
      <c r="A199" s="1">
        <v>2018</v>
      </c>
      <c r="B199" s="1" t="s">
        <v>18</v>
      </c>
      <c r="C199" s="1" t="s">
        <v>11</v>
      </c>
      <c r="D199" s="1" t="s">
        <v>8</v>
      </c>
      <c r="E199" s="1">
        <v>72.947949999999992</v>
      </c>
      <c r="H199">
        <v>2018</v>
      </c>
      <c r="I199" t="s">
        <v>18</v>
      </c>
      <c r="J199" t="s">
        <v>11</v>
      </c>
      <c r="K199" t="s">
        <v>8</v>
      </c>
      <c r="L199" t="str">
        <f t="shared" si="3"/>
        <v>2018JuneCombined</v>
      </c>
      <c r="M199">
        <v>72.947949999999992</v>
      </c>
      <c r="N199">
        <v>72.900000000000006</v>
      </c>
    </row>
    <row r="200" spans="1:14" x14ac:dyDescent="0.25">
      <c r="A200" s="1">
        <v>2018</v>
      </c>
      <c r="B200" s="1" t="s">
        <v>19</v>
      </c>
      <c r="C200" s="1" t="s">
        <v>11</v>
      </c>
      <c r="D200" s="1" t="s">
        <v>6</v>
      </c>
      <c r="E200" s="1">
        <v>74.047960000000003</v>
      </c>
      <c r="H200">
        <v>2018</v>
      </c>
      <c r="I200" t="s">
        <v>19</v>
      </c>
      <c r="J200" t="s">
        <v>11</v>
      </c>
      <c r="K200" t="s">
        <v>6</v>
      </c>
      <c r="L200" t="str">
        <f t="shared" si="3"/>
        <v>2018JulyRural</v>
      </c>
      <c r="M200">
        <v>74.047960000000003</v>
      </c>
      <c r="N200">
        <v>74</v>
      </c>
    </row>
    <row r="201" spans="1:14" x14ac:dyDescent="0.25">
      <c r="A201" s="1">
        <v>2018</v>
      </c>
      <c r="B201" s="1" t="s">
        <v>19</v>
      </c>
      <c r="C201" s="1" t="s">
        <v>11</v>
      </c>
      <c r="D201" s="1" t="s">
        <v>7</v>
      </c>
      <c r="E201" s="1">
        <v>73.150000000000006</v>
      </c>
      <c r="H201">
        <v>2018</v>
      </c>
      <c r="I201" t="s">
        <v>19</v>
      </c>
      <c r="J201" t="s">
        <v>11</v>
      </c>
      <c r="K201" t="s">
        <v>7</v>
      </c>
      <c r="L201" t="str">
        <f t="shared" si="3"/>
        <v>2018JulyUrban</v>
      </c>
      <c r="M201">
        <v>73.150000000000006</v>
      </c>
      <c r="N201">
        <v>73.2</v>
      </c>
    </row>
    <row r="202" spans="1:14" x14ac:dyDescent="0.25">
      <c r="A202" s="1">
        <v>2018</v>
      </c>
      <c r="B202" s="1" t="s">
        <v>19</v>
      </c>
      <c r="C202" s="1" t="s">
        <v>11</v>
      </c>
      <c r="D202" s="1" t="s">
        <v>8</v>
      </c>
      <c r="E202" s="1">
        <v>73.632660000000001</v>
      </c>
      <c r="H202">
        <v>2018</v>
      </c>
      <c r="I202" t="s">
        <v>19</v>
      </c>
      <c r="J202" t="s">
        <v>11</v>
      </c>
      <c r="K202" t="s">
        <v>8</v>
      </c>
      <c r="L202" t="str">
        <f t="shared" si="3"/>
        <v>2018JulyCombined</v>
      </c>
      <c r="M202">
        <v>73.632660000000001</v>
      </c>
      <c r="N202">
        <v>73.599999999999994</v>
      </c>
    </row>
    <row r="203" spans="1:14" x14ac:dyDescent="0.25">
      <c r="A203" s="1">
        <v>2018</v>
      </c>
      <c r="B203" s="1" t="s">
        <v>20</v>
      </c>
      <c r="C203" s="1" t="s">
        <v>11</v>
      </c>
      <c r="D203" s="1" t="s">
        <v>6</v>
      </c>
      <c r="E203" s="1">
        <v>74.413499999999999</v>
      </c>
      <c r="H203">
        <v>2018</v>
      </c>
      <c r="I203" t="s">
        <v>20</v>
      </c>
      <c r="J203" t="s">
        <v>11</v>
      </c>
      <c r="K203" t="s">
        <v>6</v>
      </c>
      <c r="L203" t="str">
        <f t="shared" si="3"/>
        <v>2018AugustRural</v>
      </c>
      <c r="M203">
        <v>74.413499999999999</v>
      </c>
      <c r="N203">
        <v>74.400000000000006</v>
      </c>
    </row>
    <row r="204" spans="1:14" x14ac:dyDescent="0.25">
      <c r="A204" s="1">
        <v>2018</v>
      </c>
      <c r="B204" s="1" t="s">
        <v>20</v>
      </c>
      <c r="C204" s="1" t="s">
        <v>11</v>
      </c>
      <c r="D204" s="1" t="s">
        <v>7</v>
      </c>
      <c r="E204" s="1">
        <v>73.415999999999997</v>
      </c>
      <c r="H204">
        <v>2018</v>
      </c>
      <c r="I204" t="s">
        <v>20</v>
      </c>
      <c r="J204" t="s">
        <v>11</v>
      </c>
      <c r="K204" t="s">
        <v>7</v>
      </c>
      <c r="L204" t="str">
        <f t="shared" si="3"/>
        <v>2018AugustUrban</v>
      </c>
      <c r="M204">
        <v>73.415999999999997</v>
      </c>
      <c r="N204">
        <v>73.400000000000006</v>
      </c>
    </row>
    <row r="205" spans="1:14" x14ac:dyDescent="0.25">
      <c r="A205" s="1">
        <v>2018</v>
      </c>
      <c r="B205" s="1" t="s">
        <v>20</v>
      </c>
      <c r="C205" s="1" t="s">
        <v>11</v>
      </c>
      <c r="D205" s="1" t="s">
        <v>8</v>
      </c>
      <c r="E205" s="1">
        <v>73.948679999999996</v>
      </c>
      <c r="H205">
        <v>2018</v>
      </c>
      <c r="I205" t="s">
        <v>20</v>
      </c>
      <c r="J205" t="s">
        <v>11</v>
      </c>
      <c r="K205" t="s">
        <v>8</v>
      </c>
      <c r="L205" t="str">
        <f t="shared" si="3"/>
        <v>2018AugustCombined</v>
      </c>
      <c r="M205">
        <v>73.948679999999996</v>
      </c>
      <c r="N205">
        <v>73.900000000000006</v>
      </c>
    </row>
    <row r="206" spans="1:14" x14ac:dyDescent="0.25">
      <c r="A206" s="1">
        <v>2018</v>
      </c>
      <c r="B206" s="1" t="s">
        <v>21</v>
      </c>
      <c r="C206" s="1" t="s">
        <v>11</v>
      </c>
      <c r="D206" s="1" t="s">
        <v>6</v>
      </c>
      <c r="E206" s="1">
        <v>74.204619999999991</v>
      </c>
      <c r="H206">
        <v>2018</v>
      </c>
      <c r="I206" t="s">
        <v>21</v>
      </c>
      <c r="J206" t="s">
        <v>11</v>
      </c>
      <c r="K206" t="s">
        <v>6</v>
      </c>
      <c r="L206" t="str">
        <f t="shared" si="3"/>
        <v>2018SeptemberRural</v>
      </c>
      <c r="M206">
        <v>74.204619999999991</v>
      </c>
      <c r="N206">
        <v>74.2</v>
      </c>
    </row>
    <row r="207" spans="1:14" x14ac:dyDescent="0.25">
      <c r="A207" s="1">
        <v>2018</v>
      </c>
      <c r="B207" s="1" t="s">
        <v>21</v>
      </c>
      <c r="C207" s="1" t="s">
        <v>11</v>
      </c>
      <c r="D207" s="1" t="s">
        <v>7</v>
      </c>
      <c r="E207" s="1">
        <v>73.469200000000001</v>
      </c>
      <c r="H207">
        <v>2018</v>
      </c>
      <c r="I207" t="s">
        <v>21</v>
      </c>
      <c r="J207" t="s">
        <v>11</v>
      </c>
      <c r="K207" t="s">
        <v>7</v>
      </c>
      <c r="L207" t="str">
        <f t="shared" si="3"/>
        <v>2018SeptemberUrban</v>
      </c>
      <c r="M207">
        <v>73.469200000000001</v>
      </c>
      <c r="N207">
        <v>73.5</v>
      </c>
    </row>
    <row r="208" spans="1:14" x14ac:dyDescent="0.25">
      <c r="A208" s="1">
        <v>2018</v>
      </c>
      <c r="B208" s="1" t="s">
        <v>21</v>
      </c>
      <c r="C208" s="1" t="s">
        <v>11</v>
      </c>
      <c r="D208" s="1" t="s">
        <v>8</v>
      </c>
      <c r="E208" s="1">
        <v>73.843339999999984</v>
      </c>
      <c r="H208">
        <v>2018</v>
      </c>
      <c r="I208" t="s">
        <v>21</v>
      </c>
      <c r="J208" t="s">
        <v>11</v>
      </c>
      <c r="K208" t="s">
        <v>8</v>
      </c>
      <c r="L208" t="str">
        <f t="shared" si="3"/>
        <v>2018SeptemberCombined</v>
      </c>
      <c r="M208">
        <v>73.843339999999984</v>
      </c>
      <c r="N208">
        <v>73.8</v>
      </c>
    </row>
    <row r="209" spans="1:14" x14ac:dyDescent="0.25">
      <c r="A209" s="1">
        <v>2018</v>
      </c>
      <c r="B209" s="1" t="s">
        <v>22</v>
      </c>
      <c r="C209" s="1" t="s">
        <v>11</v>
      </c>
      <c r="D209" s="1" t="s">
        <v>6</v>
      </c>
      <c r="E209" s="1">
        <v>74.256839999999997</v>
      </c>
      <c r="H209">
        <v>2018</v>
      </c>
      <c r="I209" t="s">
        <v>22</v>
      </c>
      <c r="J209" t="s">
        <v>11</v>
      </c>
      <c r="K209" t="s">
        <v>6</v>
      </c>
      <c r="L209" t="str">
        <f t="shared" si="3"/>
        <v>2018OctoberRural</v>
      </c>
      <c r="M209">
        <v>74.256839999999997</v>
      </c>
      <c r="N209">
        <v>74.3</v>
      </c>
    </row>
    <row r="210" spans="1:14" x14ac:dyDescent="0.25">
      <c r="A210" s="1">
        <v>2018</v>
      </c>
      <c r="B210" s="1" t="s">
        <v>22</v>
      </c>
      <c r="C210" s="1" t="s">
        <v>11</v>
      </c>
      <c r="D210" s="1" t="s">
        <v>7</v>
      </c>
      <c r="E210" s="1">
        <v>73.894800000000004</v>
      </c>
      <c r="H210">
        <v>2018</v>
      </c>
      <c r="I210" t="s">
        <v>22</v>
      </c>
      <c r="J210" t="s">
        <v>11</v>
      </c>
      <c r="K210" t="s">
        <v>7</v>
      </c>
      <c r="L210" t="str">
        <f t="shared" si="3"/>
        <v>2018OctoberUrban</v>
      </c>
      <c r="M210">
        <v>73.894800000000004</v>
      </c>
      <c r="N210">
        <v>73.900000000000006</v>
      </c>
    </row>
    <row r="211" spans="1:14" x14ac:dyDescent="0.25">
      <c r="A211" s="1">
        <v>2018</v>
      </c>
      <c r="B211" s="1" t="s">
        <v>22</v>
      </c>
      <c r="C211" s="1" t="s">
        <v>11</v>
      </c>
      <c r="D211" s="1" t="s">
        <v>8</v>
      </c>
      <c r="E211" s="1">
        <v>74.106689999999986</v>
      </c>
      <c r="H211">
        <v>2018</v>
      </c>
      <c r="I211" t="s">
        <v>22</v>
      </c>
      <c r="J211" t="s">
        <v>11</v>
      </c>
      <c r="K211" t="s">
        <v>8</v>
      </c>
      <c r="L211" t="str">
        <f t="shared" si="3"/>
        <v>2018OctoberCombined</v>
      </c>
      <c r="M211">
        <v>74.106689999999986</v>
      </c>
      <c r="N211">
        <v>74.099999999999994</v>
      </c>
    </row>
    <row r="212" spans="1:14" x14ac:dyDescent="0.25">
      <c r="A212" s="1">
        <v>2018</v>
      </c>
      <c r="B212" s="1" t="s">
        <v>23</v>
      </c>
      <c r="C212" s="1" t="s">
        <v>11</v>
      </c>
      <c r="D212" s="1" t="s">
        <v>6</v>
      </c>
      <c r="E212" s="1">
        <v>74.361280000000008</v>
      </c>
      <c r="H212">
        <v>2018</v>
      </c>
      <c r="I212" t="s">
        <v>23</v>
      </c>
      <c r="J212" t="s">
        <v>11</v>
      </c>
      <c r="K212" t="s">
        <v>6</v>
      </c>
      <c r="L212" t="str">
        <f t="shared" si="3"/>
        <v>2018NovemberRural</v>
      </c>
      <c r="M212">
        <v>74.361280000000008</v>
      </c>
      <c r="N212">
        <v>74.400000000000006</v>
      </c>
    </row>
    <row r="213" spans="1:14" x14ac:dyDescent="0.25">
      <c r="A213" s="1">
        <v>2018</v>
      </c>
      <c r="B213" s="1" t="s">
        <v>23</v>
      </c>
      <c r="C213" s="1" t="s">
        <v>11</v>
      </c>
      <c r="D213" s="1" t="s">
        <v>7</v>
      </c>
      <c r="E213" s="1">
        <v>73.948000000000008</v>
      </c>
      <c r="H213">
        <v>2018</v>
      </c>
      <c r="I213" t="s">
        <v>23</v>
      </c>
      <c r="J213" t="s">
        <v>11</v>
      </c>
      <c r="K213" t="s">
        <v>7</v>
      </c>
      <c r="L213" t="str">
        <f t="shared" si="3"/>
        <v>2018NovemberUrban</v>
      </c>
      <c r="M213">
        <v>73.948000000000008</v>
      </c>
      <c r="N213">
        <v>73.900000000000006</v>
      </c>
    </row>
    <row r="214" spans="1:14" x14ac:dyDescent="0.25">
      <c r="A214" s="1">
        <v>2018</v>
      </c>
      <c r="B214" s="1" t="s">
        <v>23</v>
      </c>
      <c r="C214" s="1" t="s">
        <v>11</v>
      </c>
      <c r="D214" s="1" t="s">
        <v>8</v>
      </c>
      <c r="E214" s="1">
        <v>74.159359999999992</v>
      </c>
      <c r="H214">
        <v>2018</v>
      </c>
      <c r="I214" t="s">
        <v>23</v>
      </c>
      <c r="J214" t="s">
        <v>11</v>
      </c>
      <c r="K214" t="s">
        <v>8</v>
      </c>
      <c r="L214" t="str">
        <f t="shared" si="3"/>
        <v>2018NovemberCombined</v>
      </c>
      <c r="M214">
        <v>74.159359999999992</v>
      </c>
      <c r="N214">
        <v>74.2</v>
      </c>
    </row>
    <row r="215" spans="1:14" x14ac:dyDescent="0.25">
      <c r="A215" s="1">
        <v>2018</v>
      </c>
      <c r="B215" s="1" t="s">
        <v>24</v>
      </c>
      <c r="C215" s="1" t="s">
        <v>11</v>
      </c>
      <c r="D215" s="1" t="s">
        <v>6</v>
      </c>
      <c r="E215" s="1">
        <v>74.100180000000009</v>
      </c>
      <c r="H215">
        <v>2018</v>
      </c>
      <c r="I215" t="s">
        <v>24</v>
      </c>
      <c r="J215" t="s">
        <v>11</v>
      </c>
      <c r="K215" t="s">
        <v>6</v>
      </c>
      <c r="L215" t="str">
        <f t="shared" si="3"/>
        <v>2018DecemberRural</v>
      </c>
      <c r="M215">
        <v>74.100180000000009</v>
      </c>
      <c r="N215">
        <v>74.099999999999994</v>
      </c>
    </row>
    <row r="216" spans="1:14" x14ac:dyDescent="0.25">
      <c r="A216" s="1">
        <v>2018</v>
      </c>
      <c r="B216" s="1" t="s">
        <v>24</v>
      </c>
      <c r="C216" s="1" t="s">
        <v>11</v>
      </c>
      <c r="D216" s="1" t="s">
        <v>7</v>
      </c>
      <c r="E216" s="1">
        <v>73.415999999999997</v>
      </c>
      <c r="H216">
        <v>2018</v>
      </c>
      <c r="I216" t="s">
        <v>24</v>
      </c>
      <c r="J216" t="s">
        <v>11</v>
      </c>
      <c r="K216" t="s">
        <v>7</v>
      </c>
      <c r="L216" t="str">
        <f t="shared" si="3"/>
        <v>2018DecemberUrban</v>
      </c>
      <c r="M216">
        <v>73.415999999999997</v>
      </c>
      <c r="N216">
        <v>73.400000000000006</v>
      </c>
    </row>
    <row r="217" spans="1:14" x14ac:dyDescent="0.25">
      <c r="A217" s="1">
        <v>2018</v>
      </c>
      <c r="B217" s="1" t="s">
        <v>24</v>
      </c>
      <c r="C217" s="1" t="s">
        <v>11</v>
      </c>
      <c r="D217" s="1" t="s">
        <v>8</v>
      </c>
      <c r="E217" s="1">
        <v>73.790669999999992</v>
      </c>
      <c r="H217">
        <v>2018</v>
      </c>
      <c r="I217" t="s">
        <v>24</v>
      </c>
      <c r="J217" t="s">
        <v>11</v>
      </c>
      <c r="K217" t="s">
        <v>8</v>
      </c>
      <c r="L217" t="str">
        <f t="shared" si="3"/>
        <v>2018DecemberCombined</v>
      </c>
      <c r="M217">
        <v>73.790669999999992</v>
      </c>
      <c r="N217">
        <v>73.8</v>
      </c>
    </row>
    <row r="218" spans="1:14" x14ac:dyDescent="0.25">
      <c r="A218" s="1">
        <v>2019</v>
      </c>
      <c r="B218" s="1" t="s">
        <v>10</v>
      </c>
      <c r="C218" s="1" t="s">
        <v>11</v>
      </c>
      <c r="D218" s="1" t="s">
        <v>6</v>
      </c>
      <c r="E218" s="1">
        <v>73.630200000000002</v>
      </c>
      <c r="H218">
        <v>2019</v>
      </c>
      <c r="I218" t="s">
        <v>10</v>
      </c>
      <c r="J218" t="s">
        <v>11</v>
      </c>
      <c r="K218" t="s">
        <v>6</v>
      </c>
      <c r="L218" t="str">
        <f t="shared" si="3"/>
        <v>2019JanuaryRural</v>
      </c>
      <c r="M218">
        <v>73.630200000000002</v>
      </c>
      <c r="N218">
        <v>73.599999999999994</v>
      </c>
    </row>
    <row r="219" spans="1:14" x14ac:dyDescent="0.25">
      <c r="A219" s="1">
        <v>2019</v>
      </c>
      <c r="B219" s="1" t="s">
        <v>10</v>
      </c>
      <c r="C219" s="1" t="s">
        <v>11</v>
      </c>
      <c r="D219" s="1" t="s">
        <v>7</v>
      </c>
      <c r="E219" s="1">
        <v>73.415999999999997</v>
      </c>
      <c r="H219">
        <v>2019</v>
      </c>
      <c r="I219" t="s">
        <v>10</v>
      </c>
      <c r="J219" t="s">
        <v>11</v>
      </c>
      <c r="K219" t="s">
        <v>7</v>
      </c>
      <c r="L219" t="str">
        <f t="shared" si="3"/>
        <v>2019JanuaryUrban</v>
      </c>
      <c r="M219">
        <v>73.415999999999997</v>
      </c>
      <c r="N219">
        <v>73.400000000000006</v>
      </c>
    </row>
    <row r="220" spans="1:14" x14ac:dyDescent="0.25">
      <c r="A220" s="1">
        <v>2019</v>
      </c>
      <c r="B220" s="1" t="s">
        <v>10</v>
      </c>
      <c r="C220" s="1" t="s">
        <v>11</v>
      </c>
      <c r="D220" s="1" t="s">
        <v>8</v>
      </c>
      <c r="E220" s="1">
        <v>73.527319999999989</v>
      </c>
      <c r="H220">
        <v>2019</v>
      </c>
      <c r="I220" t="s">
        <v>10</v>
      </c>
      <c r="J220" t="s">
        <v>11</v>
      </c>
      <c r="K220" t="s">
        <v>8</v>
      </c>
      <c r="L220" t="str">
        <f t="shared" si="3"/>
        <v>2019JanuaryCombined</v>
      </c>
      <c r="M220">
        <v>73.527319999999989</v>
      </c>
      <c r="N220">
        <v>73.5</v>
      </c>
    </row>
    <row r="221" spans="1:14" x14ac:dyDescent="0.25">
      <c r="A221" s="1">
        <v>2019</v>
      </c>
      <c r="B221" s="1" t="s">
        <v>14</v>
      </c>
      <c r="C221" s="1" t="s">
        <v>11</v>
      </c>
      <c r="D221" s="1" t="s">
        <v>6</v>
      </c>
      <c r="E221" s="1">
        <v>73.630200000000002</v>
      </c>
      <c r="H221">
        <v>2019</v>
      </c>
      <c r="I221" t="s">
        <v>14</v>
      </c>
      <c r="J221" t="s">
        <v>11</v>
      </c>
      <c r="K221" t="s">
        <v>6</v>
      </c>
      <c r="L221" t="str">
        <f t="shared" si="3"/>
        <v>2019FebruaryRural</v>
      </c>
      <c r="M221">
        <v>73.630200000000002</v>
      </c>
      <c r="N221">
        <v>73.599999999999994</v>
      </c>
    </row>
    <row r="222" spans="1:14" x14ac:dyDescent="0.25">
      <c r="A222" s="1">
        <v>2019</v>
      </c>
      <c r="B222" s="1" t="s">
        <v>14</v>
      </c>
      <c r="C222" s="1" t="s">
        <v>11</v>
      </c>
      <c r="D222" s="1" t="s">
        <v>7</v>
      </c>
      <c r="E222" s="1">
        <v>73.735200000000006</v>
      </c>
      <c r="H222">
        <v>2019</v>
      </c>
      <c r="I222" t="s">
        <v>14</v>
      </c>
      <c r="J222" t="s">
        <v>11</v>
      </c>
      <c r="K222" t="s">
        <v>7</v>
      </c>
      <c r="L222" t="str">
        <f t="shared" si="3"/>
        <v>2019FebruaryUrban</v>
      </c>
      <c r="M222">
        <v>73.735200000000006</v>
      </c>
      <c r="N222">
        <v>73.7</v>
      </c>
    </row>
    <row r="223" spans="1:14" x14ac:dyDescent="0.25">
      <c r="A223" s="1">
        <v>2019</v>
      </c>
      <c r="B223" s="1" t="s">
        <v>14</v>
      </c>
      <c r="C223" s="1" t="s">
        <v>11</v>
      </c>
      <c r="D223" s="1" t="s">
        <v>8</v>
      </c>
      <c r="E223" s="1">
        <v>73.685329999999993</v>
      </c>
      <c r="H223">
        <v>2019</v>
      </c>
      <c r="I223" t="s">
        <v>14</v>
      </c>
      <c r="J223" t="s">
        <v>11</v>
      </c>
      <c r="K223" t="s">
        <v>8</v>
      </c>
      <c r="L223" t="str">
        <f t="shared" si="3"/>
        <v>2019FebruaryCombined</v>
      </c>
      <c r="M223">
        <v>73.685329999999993</v>
      </c>
      <c r="N223">
        <v>73.7</v>
      </c>
    </row>
    <row r="224" spans="1:14" x14ac:dyDescent="0.25">
      <c r="A224" s="1">
        <v>2019</v>
      </c>
      <c r="B224" s="1" t="s">
        <v>15</v>
      </c>
      <c r="C224" s="1" t="s">
        <v>11</v>
      </c>
      <c r="D224" s="1" t="s">
        <v>6</v>
      </c>
      <c r="E224" s="1">
        <v>73.734639999999999</v>
      </c>
      <c r="H224">
        <v>2019</v>
      </c>
      <c r="I224" t="s">
        <v>15</v>
      </c>
      <c r="J224" t="s">
        <v>11</v>
      </c>
      <c r="K224" t="s">
        <v>6</v>
      </c>
      <c r="L224" t="str">
        <f t="shared" si="3"/>
        <v>2019MarchRural</v>
      </c>
      <c r="M224">
        <v>73.734639999999999</v>
      </c>
      <c r="N224">
        <v>73.7</v>
      </c>
    </row>
    <row r="225" spans="1:14" x14ac:dyDescent="0.25">
      <c r="A225" s="1">
        <v>2019</v>
      </c>
      <c r="B225" s="1" t="s">
        <v>15</v>
      </c>
      <c r="C225" s="1" t="s">
        <v>11</v>
      </c>
      <c r="D225" s="1" t="s">
        <v>7</v>
      </c>
      <c r="E225" s="1">
        <v>74.213999999999999</v>
      </c>
      <c r="H225">
        <v>2019</v>
      </c>
      <c r="I225" t="s">
        <v>15</v>
      </c>
      <c r="J225" t="s">
        <v>11</v>
      </c>
      <c r="K225" t="s">
        <v>7</v>
      </c>
      <c r="L225" t="str">
        <f t="shared" si="3"/>
        <v>2019MarchUrban</v>
      </c>
      <c r="M225">
        <v>74.213999999999999</v>
      </c>
      <c r="N225">
        <v>74.2</v>
      </c>
    </row>
    <row r="226" spans="1:14" x14ac:dyDescent="0.25">
      <c r="A226" s="1">
        <v>2019</v>
      </c>
      <c r="B226" s="1" t="s">
        <v>15</v>
      </c>
      <c r="C226" s="1" t="s">
        <v>11</v>
      </c>
      <c r="D226" s="1" t="s">
        <v>8</v>
      </c>
      <c r="E226" s="1">
        <v>73.948679999999996</v>
      </c>
      <c r="H226">
        <v>2019</v>
      </c>
      <c r="I226" t="s">
        <v>15</v>
      </c>
      <c r="J226" t="s">
        <v>11</v>
      </c>
      <c r="K226" t="s">
        <v>8</v>
      </c>
      <c r="L226" t="str">
        <f t="shared" si="3"/>
        <v>2019MarchCombined</v>
      </c>
      <c r="M226">
        <v>73.948679999999996</v>
      </c>
      <c r="N226">
        <v>73.900000000000006</v>
      </c>
    </row>
    <row r="227" spans="1:14" x14ac:dyDescent="0.25">
      <c r="A227" s="1">
        <v>2019</v>
      </c>
      <c r="B227" s="1" t="s">
        <v>16</v>
      </c>
      <c r="C227" s="1" t="s">
        <v>11</v>
      </c>
      <c r="D227" s="1" t="s">
        <v>6</v>
      </c>
      <c r="E227" s="1">
        <v>73.995739999999998</v>
      </c>
      <c r="H227">
        <v>2019</v>
      </c>
      <c r="I227" t="s">
        <v>16</v>
      </c>
      <c r="J227" t="s">
        <v>11</v>
      </c>
      <c r="K227" t="s">
        <v>6</v>
      </c>
      <c r="L227" t="str">
        <f t="shared" si="3"/>
        <v>2019AprilRural</v>
      </c>
      <c r="M227">
        <v>73.995739999999998</v>
      </c>
      <c r="N227">
        <v>74</v>
      </c>
    </row>
    <row r="228" spans="1:14" x14ac:dyDescent="0.25">
      <c r="A228" s="1">
        <v>2019</v>
      </c>
      <c r="B228" s="1" t="s">
        <v>16</v>
      </c>
      <c r="C228" s="1" t="s">
        <v>11</v>
      </c>
      <c r="D228" s="1" t="s">
        <v>7</v>
      </c>
      <c r="E228" s="1">
        <v>74.799199999999999</v>
      </c>
      <c r="H228">
        <v>2019</v>
      </c>
      <c r="I228" t="s">
        <v>16</v>
      </c>
      <c r="J228" t="s">
        <v>11</v>
      </c>
      <c r="K228" t="s">
        <v>7</v>
      </c>
      <c r="L228" t="str">
        <f t="shared" si="3"/>
        <v>2019AprilUrban</v>
      </c>
      <c r="M228">
        <v>74.799199999999999</v>
      </c>
      <c r="N228">
        <v>74.8</v>
      </c>
    </row>
    <row r="229" spans="1:14" x14ac:dyDescent="0.25">
      <c r="A229" s="1">
        <v>2019</v>
      </c>
      <c r="B229" s="1" t="s">
        <v>16</v>
      </c>
      <c r="C229" s="1" t="s">
        <v>11</v>
      </c>
      <c r="D229" s="1" t="s">
        <v>8</v>
      </c>
      <c r="E229" s="1">
        <v>74.370039999999989</v>
      </c>
      <c r="H229">
        <v>2019</v>
      </c>
      <c r="I229" t="s">
        <v>16</v>
      </c>
      <c r="J229" t="s">
        <v>11</v>
      </c>
      <c r="K229" t="s">
        <v>8</v>
      </c>
      <c r="L229" t="str">
        <f t="shared" si="3"/>
        <v>2019AprilCombined</v>
      </c>
      <c r="M229">
        <v>74.370039999999989</v>
      </c>
      <c r="N229">
        <v>74.400000000000006</v>
      </c>
    </row>
    <row r="230" spans="1:14" x14ac:dyDescent="0.25">
      <c r="A230" s="1">
        <v>2019</v>
      </c>
      <c r="B230" s="1" t="s">
        <v>17</v>
      </c>
      <c r="C230" s="1" t="s">
        <v>11</v>
      </c>
      <c r="D230" s="1" t="s">
        <v>6</v>
      </c>
      <c r="E230" s="1">
        <v>74.361280000000008</v>
      </c>
      <c r="H230">
        <v>2019</v>
      </c>
      <c r="I230" t="s">
        <v>17</v>
      </c>
      <c r="J230" t="s">
        <v>11</v>
      </c>
      <c r="K230" t="s">
        <v>6</v>
      </c>
      <c r="L230" t="str">
        <f t="shared" si="3"/>
        <v>2019MayRural</v>
      </c>
      <c r="M230">
        <v>74.361280000000008</v>
      </c>
      <c r="N230">
        <v>74.400000000000006</v>
      </c>
    </row>
    <row r="231" spans="1:14" x14ac:dyDescent="0.25">
      <c r="A231" s="1">
        <v>2019</v>
      </c>
      <c r="B231" s="1" t="s">
        <v>17</v>
      </c>
      <c r="C231" s="1" t="s">
        <v>11</v>
      </c>
      <c r="D231" s="1" t="s">
        <v>7</v>
      </c>
      <c r="E231" s="1">
        <v>75.278000000000006</v>
      </c>
      <c r="H231">
        <v>2019</v>
      </c>
      <c r="I231" t="s">
        <v>17</v>
      </c>
      <c r="J231" t="s">
        <v>11</v>
      </c>
      <c r="K231" t="s">
        <v>7</v>
      </c>
      <c r="L231" t="str">
        <f t="shared" si="3"/>
        <v>2019MayUrban</v>
      </c>
      <c r="M231">
        <v>75.278000000000006</v>
      </c>
      <c r="N231">
        <v>75.3</v>
      </c>
    </row>
    <row r="232" spans="1:14" x14ac:dyDescent="0.25">
      <c r="A232" s="1">
        <v>2019</v>
      </c>
      <c r="B232" s="1" t="s">
        <v>17</v>
      </c>
      <c r="C232" s="1" t="s">
        <v>11</v>
      </c>
      <c r="D232" s="1" t="s">
        <v>8</v>
      </c>
      <c r="E232" s="1">
        <v>74.791399999999996</v>
      </c>
      <c r="H232">
        <v>2019</v>
      </c>
      <c r="I232" t="s">
        <v>17</v>
      </c>
      <c r="J232" t="s">
        <v>11</v>
      </c>
      <c r="K232" t="s">
        <v>8</v>
      </c>
      <c r="L232" t="str">
        <f t="shared" si="3"/>
        <v>2019MayCombined</v>
      </c>
      <c r="M232">
        <v>74.791399999999996</v>
      </c>
      <c r="N232">
        <v>74.8</v>
      </c>
    </row>
    <row r="233" spans="1:14" x14ac:dyDescent="0.25">
      <c r="A233" s="1">
        <v>2019</v>
      </c>
      <c r="B233" s="1" t="s">
        <v>18</v>
      </c>
      <c r="C233" s="1" t="s">
        <v>11</v>
      </c>
      <c r="D233" s="1" t="s">
        <v>6</v>
      </c>
      <c r="E233" s="1">
        <v>74.987920000000003</v>
      </c>
      <c r="H233">
        <v>2019</v>
      </c>
      <c r="I233" t="s">
        <v>18</v>
      </c>
      <c r="J233" t="s">
        <v>11</v>
      </c>
      <c r="K233" t="s">
        <v>6</v>
      </c>
      <c r="L233" t="str">
        <f t="shared" si="3"/>
        <v>2019JuneRural</v>
      </c>
      <c r="M233">
        <v>74.987920000000003</v>
      </c>
      <c r="N233">
        <v>75</v>
      </c>
    </row>
    <row r="234" spans="1:14" x14ac:dyDescent="0.25">
      <c r="A234" s="1">
        <v>2019</v>
      </c>
      <c r="B234" s="1" t="s">
        <v>18</v>
      </c>
      <c r="C234" s="1" t="s">
        <v>11</v>
      </c>
      <c r="D234" s="1" t="s">
        <v>7</v>
      </c>
      <c r="E234" s="1">
        <v>75.597200000000001</v>
      </c>
      <c r="H234">
        <v>2019</v>
      </c>
      <c r="I234" t="s">
        <v>18</v>
      </c>
      <c r="J234" t="s">
        <v>11</v>
      </c>
      <c r="K234" t="s">
        <v>7</v>
      </c>
      <c r="L234" t="str">
        <f t="shared" si="3"/>
        <v>2019JuneUrban</v>
      </c>
      <c r="M234">
        <v>75.597200000000001</v>
      </c>
      <c r="N234">
        <v>75.599999999999994</v>
      </c>
    </row>
    <row r="235" spans="1:14" x14ac:dyDescent="0.25">
      <c r="A235" s="1">
        <v>2019</v>
      </c>
      <c r="B235" s="1" t="s">
        <v>18</v>
      </c>
      <c r="C235" s="1" t="s">
        <v>11</v>
      </c>
      <c r="D235" s="1" t="s">
        <v>8</v>
      </c>
      <c r="E235" s="1">
        <v>75.265429999999995</v>
      </c>
      <c r="H235">
        <v>2019</v>
      </c>
      <c r="I235" t="s">
        <v>18</v>
      </c>
      <c r="J235" t="s">
        <v>11</v>
      </c>
      <c r="K235" t="s">
        <v>8</v>
      </c>
      <c r="L235" t="str">
        <f t="shared" si="3"/>
        <v>2019JuneCombined</v>
      </c>
      <c r="M235">
        <v>75.265429999999995</v>
      </c>
      <c r="N235">
        <v>75.3</v>
      </c>
    </row>
    <row r="236" spans="1:14" x14ac:dyDescent="0.25">
      <c r="A236" s="1">
        <v>2019</v>
      </c>
      <c r="B236" s="1" t="s">
        <v>19</v>
      </c>
      <c r="C236" s="1" t="s">
        <v>11</v>
      </c>
      <c r="D236" s="1" t="s">
        <v>6</v>
      </c>
      <c r="E236" s="1">
        <v>75.666780000000003</v>
      </c>
      <c r="H236">
        <v>2019</v>
      </c>
      <c r="I236" t="s">
        <v>19</v>
      </c>
      <c r="J236" t="s">
        <v>11</v>
      </c>
      <c r="K236" t="s">
        <v>6</v>
      </c>
      <c r="L236" t="str">
        <f t="shared" si="3"/>
        <v>2019JulyRural</v>
      </c>
      <c r="M236">
        <v>75.666780000000003</v>
      </c>
      <c r="N236">
        <v>75.7</v>
      </c>
    </row>
    <row r="237" spans="1:14" x14ac:dyDescent="0.25">
      <c r="A237" s="1">
        <v>2019</v>
      </c>
      <c r="B237" s="1" t="s">
        <v>19</v>
      </c>
      <c r="C237" s="1" t="s">
        <v>11</v>
      </c>
      <c r="D237" s="1" t="s">
        <v>7</v>
      </c>
      <c r="E237" s="1">
        <v>76.235600000000005</v>
      </c>
      <c r="H237">
        <v>2019</v>
      </c>
      <c r="I237" t="s">
        <v>19</v>
      </c>
      <c r="J237" t="s">
        <v>11</v>
      </c>
      <c r="K237" t="s">
        <v>7</v>
      </c>
      <c r="L237" t="str">
        <f t="shared" si="3"/>
        <v>2019JulyUrban</v>
      </c>
      <c r="M237">
        <v>76.235600000000005</v>
      </c>
      <c r="N237">
        <v>76.2</v>
      </c>
    </row>
    <row r="238" spans="1:14" x14ac:dyDescent="0.25">
      <c r="A238" s="1">
        <v>2019</v>
      </c>
      <c r="B238" s="1" t="s">
        <v>19</v>
      </c>
      <c r="C238" s="1" t="s">
        <v>11</v>
      </c>
      <c r="D238" s="1" t="s">
        <v>8</v>
      </c>
      <c r="E238" s="1">
        <v>75.95013999999999</v>
      </c>
      <c r="H238">
        <v>2019</v>
      </c>
      <c r="I238" t="s">
        <v>19</v>
      </c>
      <c r="J238" t="s">
        <v>11</v>
      </c>
      <c r="K238" t="s">
        <v>8</v>
      </c>
      <c r="L238" t="str">
        <f t="shared" si="3"/>
        <v>2019JulyCombined</v>
      </c>
      <c r="M238">
        <v>75.95013999999999</v>
      </c>
      <c r="N238">
        <v>76</v>
      </c>
    </row>
    <row r="239" spans="1:14" x14ac:dyDescent="0.25">
      <c r="A239" s="1">
        <v>2019</v>
      </c>
      <c r="B239" s="1" t="s">
        <v>20</v>
      </c>
      <c r="C239" s="1" t="s">
        <v>11</v>
      </c>
      <c r="D239" s="1" t="s">
        <v>6</v>
      </c>
      <c r="E239" s="1">
        <v>76.08453999999999</v>
      </c>
      <c r="H239">
        <v>2019</v>
      </c>
      <c r="I239" t="s">
        <v>20</v>
      </c>
      <c r="J239" t="s">
        <v>11</v>
      </c>
      <c r="K239" t="s">
        <v>6</v>
      </c>
      <c r="L239" t="str">
        <f t="shared" si="3"/>
        <v>2019AugustRural</v>
      </c>
      <c r="M239">
        <v>76.08453999999999</v>
      </c>
      <c r="N239">
        <v>76.099999999999994</v>
      </c>
    </row>
    <row r="240" spans="1:14" x14ac:dyDescent="0.25">
      <c r="A240" s="1">
        <v>2019</v>
      </c>
      <c r="B240" s="1" t="s">
        <v>20</v>
      </c>
      <c r="C240" s="1" t="s">
        <v>11</v>
      </c>
      <c r="D240" s="1" t="s">
        <v>7</v>
      </c>
      <c r="E240" s="1">
        <v>76.714399999999998</v>
      </c>
      <c r="H240">
        <v>2019</v>
      </c>
      <c r="I240" t="s">
        <v>20</v>
      </c>
      <c r="J240" t="s">
        <v>11</v>
      </c>
      <c r="K240" t="s">
        <v>7</v>
      </c>
      <c r="L240" t="str">
        <f t="shared" si="3"/>
        <v>2019AugustUrban</v>
      </c>
      <c r="M240">
        <v>76.714399999999998</v>
      </c>
      <c r="N240">
        <v>76.7</v>
      </c>
    </row>
    <row r="241" spans="1:14" x14ac:dyDescent="0.25">
      <c r="A241" s="1">
        <v>2019</v>
      </c>
      <c r="B241" s="1" t="s">
        <v>20</v>
      </c>
      <c r="C241" s="1" t="s">
        <v>11</v>
      </c>
      <c r="D241" s="1" t="s">
        <v>8</v>
      </c>
      <c r="E241" s="1">
        <v>76.371499999999997</v>
      </c>
      <c r="H241">
        <v>2019</v>
      </c>
      <c r="I241" t="s">
        <v>20</v>
      </c>
      <c r="J241" t="s">
        <v>11</v>
      </c>
      <c r="K241" t="s">
        <v>8</v>
      </c>
      <c r="L241" t="str">
        <f t="shared" si="3"/>
        <v>2019AugustCombined</v>
      </c>
      <c r="M241">
        <v>76.371499999999997</v>
      </c>
      <c r="N241">
        <v>76.400000000000006</v>
      </c>
    </row>
    <row r="242" spans="1:14" x14ac:dyDescent="0.25">
      <c r="A242" s="1">
        <v>2019</v>
      </c>
      <c r="B242" s="1" t="s">
        <v>21</v>
      </c>
      <c r="C242" s="1" t="s">
        <v>11</v>
      </c>
      <c r="D242" s="1" t="s">
        <v>6</v>
      </c>
      <c r="E242" s="1">
        <v>76.606739999999988</v>
      </c>
      <c r="H242">
        <v>2019</v>
      </c>
      <c r="I242" t="s">
        <v>21</v>
      </c>
      <c r="J242" t="s">
        <v>11</v>
      </c>
      <c r="K242" t="s">
        <v>6</v>
      </c>
      <c r="L242" t="str">
        <f t="shared" si="3"/>
        <v>2019SeptemberRural</v>
      </c>
      <c r="M242">
        <v>76.606739999999988</v>
      </c>
      <c r="N242">
        <v>76.599999999999994</v>
      </c>
    </row>
    <row r="243" spans="1:14" x14ac:dyDescent="0.25">
      <c r="A243" s="1">
        <v>2019</v>
      </c>
      <c r="B243" s="1" t="s">
        <v>21</v>
      </c>
      <c r="C243" s="1" t="s">
        <v>11</v>
      </c>
      <c r="D243" s="1" t="s">
        <v>7</v>
      </c>
      <c r="E243" s="1">
        <v>76.980400000000003</v>
      </c>
      <c r="H243">
        <v>2019</v>
      </c>
      <c r="I243" t="s">
        <v>21</v>
      </c>
      <c r="J243" t="s">
        <v>11</v>
      </c>
      <c r="K243" t="s">
        <v>7</v>
      </c>
      <c r="L243" t="str">
        <f t="shared" si="3"/>
        <v>2019SeptemberUrban</v>
      </c>
      <c r="M243">
        <v>76.980400000000003</v>
      </c>
      <c r="N243">
        <v>77</v>
      </c>
    </row>
    <row r="244" spans="1:14" x14ac:dyDescent="0.25">
      <c r="A244" s="1">
        <v>2019</v>
      </c>
      <c r="B244" s="1" t="s">
        <v>21</v>
      </c>
      <c r="C244" s="1" t="s">
        <v>11</v>
      </c>
      <c r="D244" s="1" t="s">
        <v>8</v>
      </c>
      <c r="E244" s="1">
        <v>76.792860000000005</v>
      </c>
      <c r="H244">
        <v>2019</v>
      </c>
      <c r="I244" t="s">
        <v>21</v>
      </c>
      <c r="J244" t="s">
        <v>11</v>
      </c>
      <c r="K244" t="s">
        <v>8</v>
      </c>
      <c r="L244" t="str">
        <f t="shared" si="3"/>
        <v>2019SeptemberCombined</v>
      </c>
      <c r="M244">
        <v>76.792860000000005</v>
      </c>
      <c r="N244">
        <v>76.8</v>
      </c>
    </row>
    <row r="245" spans="1:14" x14ac:dyDescent="0.25">
      <c r="A245" s="1">
        <v>2019</v>
      </c>
      <c r="B245" s="1" t="s">
        <v>22</v>
      </c>
      <c r="C245" s="1" t="s">
        <v>11</v>
      </c>
      <c r="D245" s="1" t="s">
        <v>6</v>
      </c>
      <c r="E245" s="1">
        <v>77.442260000000005</v>
      </c>
      <c r="H245">
        <v>2019</v>
      </c>
      <c r="I245" t="s">
        <v>22</v>
      </c>
      <c r="J245" t="s">
        <v>11</v>
      </c>
      <c r="K245" t="s">
        <v>6</v>
      </c>
      <c r="L245" t="str">
        <f t="shared" si="3"/>
        <v>2019OctoberRural</v>
      </c>
      <c r="M245">
        <v>77.442260000000005</v>
      </c>
      <c r="N245">
        <v>77.400000000000006</v>
      </c>
    </row>
    <row r="246" spans="1:14" x14ac:dyDescent="0.25">
      <c r="A246" s="1">
        <v>2019</v>
      </c>
      <c r="B246" s="1" t="s">
        <v>22</v>
      </c>
      <c r="C246" s="1" t="s">
        <v>11</v>
      </c>
      <c r="D246" s="1" t="s">
        <v>7</v>
      </c>
      <c r="E246" s="1">
        <v>77.671999999999997</v>
      </c>
      <c r="H246">
        <v>2019</v>
      </c>
      <c r="I246" t="s">
        <v>22</v>
      </c>
      <c r="J246" t="s">
        <v>11</v>
      </c>
      <c r="K246" t="s">
        <v>7</v>
      </c>
      <c r="L246" t="str">
        <f t="shared" si="3"/>
        <v>2019OctoberUrban</v>
      </c>
      <c r="M246">
        <v>77.671999999999997</v>
      </c>
      <c r="N246">
        <v>77.7</v>
      </c>
    </row>
    <row r="247" spans="1:14" x14ac:dyDescent="0.25">
      <c r="A247" s="1">
        <v>2019</v>
      </c>
      <c r="B247" s="1" t="s">
        <v>22</v>
      </c>
      <c r="C247" s="1" t="s">
        <v>11</v>
      </c>
      <c r="D247" s="1" t="s">
        <v>8</v>
      </c>
      <c r="E247" s="1">
        <v>77.530239999999992</v>
      </c>
      <c r="H247">
        <v>2019</v>
      </c>
      <c r="I247" t="s">
        <v>22</v>
      </c>
      <c r="J247" t="s">
        <v>11</v>
      </c>
      <c r="K247" t="s">
        <v>8</v>
      </c>
      <c r="L247" t="str">
        <f t="shared" si="3"/>
        <v>2019OctoberCombined</v>
      </c>
      <c r="M247">
        <v>77.530239999999992</v>
      </c>
      <c r="N247">
        <v>77.5</v>
      </c>
    </row>
    <row r="248" spans="1:14" x14ac:dyDescent="0.25">
      <c r="A248" s="1">
        <v>2019</v>
      </c>
      <c r="B248" s="1" t="s">
        <v>23</v>
      </c>
      <c r="C248" s="1" t="s">
        <v>11</v>
      </c>
      <c r="D248" s="1" t="s">
        <v>6</v>
      </c>
      <c r="E248" s="1">
        <v>78.277780000000007</v>
      </c>
      <c r="H248">
        <v>2019</v>
      </c>
      <c r="I248" t="s">
        <v>23</v>
      </c>
      <c r="J248" t="s">
        <v>11</v>
      </c>
      <c r="K248" t="s">
        <v>6</v>
      </c>
      <c r="L248" t="str">
        <f t="shared" si="3"/>
        <v>2019NovemberRural</v>
      </c>
      <c r="M248">
        <v>78.277780000000007</v>
      </c>
      <c r="N248">
        <v>78.3</v>
      </c>
    </row>
    <row r="249" spans="1:14" x14ac:dyDescent="0.25">
      <c r="A249" s="1">
        <v>2019</v>
      </c>
      <c r="B249" s="1" t="s">
        <v>23</v>
      </c>
      <c r="C249" s="1" t="s">
        <v>11</v>
      </c>
      <c r="D249" s="1" t="s">
        <v>7</v>
      </c>
      <c r="E249" s="1">
        <v>78.204000000000008</v>
      </c>
      <c r="H249">
        <v>2019</v>
      </c>
      <c r="I249" t="s">
        <v>23</v>
      </c>
      <c r="J249" t="s">
        <v>11</v>
      </c>
      <c r="K249" t="s">
        <v>7</v>
      </c>
      <c r="L249" t="str">
        <f t="shared" si="3"/>
        <v>2019NovemberUrban</v>
      </c>
      <c r="M249">
        <v>78.204000000000008</v>
      </c>
      <c r="N249">
        <v>78.2</v>
      </c>
    </row>
    <row r="250" spans="1:14" x14ac:dyDescent="0.25">
      <c r="A250" s="1">
        <v>2019</v>
      </c>
      <c r="B250" s="1" t="s">
        <v>23</v>
      </c>
      <c r="C250" s="1" t="s">
        <v>11</v>
      </c>
      <c r="D250" s="1" t="s">
        <v>8</v>
      </c>
      <c r="E250" s="1">
        <v>78.267619999999994</v>
      </c>
      <c r="H250">
        <v>2019</v>
      </c>
      <c r="I250" t="s">
        <v>23</v>
      </c>
      <c r="J250" t="s">
        <v>11</v>
      </c>
      <c r="K250" t="s">
        <v>8</v>
      </c>
      <c r="L250" t="str">
        <f t="shared" si="3"/>
        <v>2019NovemberCombined</v>
      </c>
      <c r="M250">
        <v>78.267619999999994</v>
      </c>
      <c r="N250">
        <v>78.3</v>
      </c>
    </row>
    <row r="251" spans="1:14" x14ac:dyDescent="0.25">
      <c r="A251" s="1">
        <v>2019</v>
      </c>
      <c r="B251" s="1" t="s">
        <v>24</v>
      </c>
      <c r="C251" s="1" t="s">
        <v>11</v>
      </c>
      <c r="D251" s="1" t="s">
        <v>6</v>
      </c>
      <c r="E251" s="1">
        <v>79.531060000000011</v>
      </c>
      <c r="H251">
        <v>2019</v>
      </c>
      <c r="I251" t="s">
        <v>24</v>
      </c>
      <c r="J251" t="s">
        <v>11</v>
      </c>
      <c r="K251" t="s">
        <v>6</v>
      </c>
      <c r="L251" t="str">
        <f t="shared" si="3"/>
        <v>2019DecemberRural</v>
      </c>
      <c r="M251">
        <v>79.531060000000011</v>
      </c>
      <c r="N251">
        <v>79.5</v>
      </c>
    </row>
    <row r="252" spans="1:14" x14ac:dyDescent="0.25">
      <c r="A252" s="1">
        <v>2019</v>
      </c>
      <c r="B252" s="1" t="s">
        <v>24</v>
      </c>
      <c r="C252" s="1" t="s">
        <v>11</v>
      </c>
      <c r="D252" s="1" t="s">
        <v>7</v>
      </c>
      <c r="E252" s="1">
        <v>78.895600000000016</v>
      </c>
      <c r="H252">
        <v>2019</v>
      </c>
      <c r="I252" t="s">
        <v>24</v>
      </c>
      <c r="J252" t="s">
        <v>11</v>
      </c>
      <c r="K252" t="s">
        <v>7</v>
      </c>
      <c r="L252" t="str">
        <f t="shared" si="3"/>
        <v>2019DecemberUrban</v>
      </c>
      <c r="M252">
        <v>78.895600000000016</v>
      </c>
      <c r="N252">
        <v>78.900000000000006</v>
      </c>
    </row>
    <row r="253" spans="1:14" x14ac:dyDescent="0.25">
      <c r="A253" s="1">
        <v>2019</v>
      </c>
      <c r="B253" s="1" t="s">
        <v>24</v>
      </c>
      <c r="C253" s="1" t="s">
        <v>11</v>
      </c>
      <c r="D253" s="1" t="s">
        <v>8</v>
      </c>
      <c r="E253" s="1">
        <v>79.215679999999992</v>
      </c>
      <c r="H253">
        <v>2019</v>
      </c>
      <c r="I253" t="s">
        <v>24</v>
      </c>
      <c r="J253" t="s">
        <v>11</v>
      </c>
      <c r="K253" t="s">
        <v>8</v>
      </c>
      <c r="L253" t="str">
        <f t="shared" si="3"/>
        <v>2019DecemberCombined</v>
      </c>
      <c r="M253">
        <v>79.215679999999992</v>
      </c>
      <c r="N253">
        <v>79.2</v>
      </c>
    </row>
    <row r="254" spans="1:14" x14ac:dyDescent="0.25">
      <c r="A254" s="1">
        <v>2020</v>
      </c>
      <c r="B254" s="1" t="s">
        <v>10</v>
      </c>
      <c r="C254" s="1" t="s">
        <v>11</v>
      </c>
      <c r="D254" s="1" t="s">
        <v>6</v>
      </c>
      <c r="E254" s="1">
        <v>79.322180000000003</v>
      </c>
      <c r="H254">
        <v>2020</v>
      </c>
      <c r="I254" t="s">
        <v>10</v>
      </c>
      <c r="J254" t="s">
        <v>11</v>
      </c>
      <c r="K254" t="s">
        <v>6</v>
      </c>
      <c r="L254" t="str">
        <f t="shared" si="3"/>
        <v>2020JanuaryRural</v>
      </c>
      <c r="M254">
        <v>79.322180000000003</v>
      </c>
      <c r="N254">
        <v>79.3</v>
      </c>
    </row>
    <row r="255" spans="1:14" x14ac:dyDescent="0.25">
      <c r="A255" s="1">
        <v>2020</v>
      </c>
      <c r="B255" s="1" t="s">
        <v>10</v>
      </c>
      <c r="C255" s="1" t="s">
        <v>11</v>
      </c>
      <c r="D255" s="1" t="s">
        <v>7</v>
      </c>
      <c r="E255" s="1">
        <v>78.842399999999998</v>
      </c>
      <c r="H255">
        <v>2020</v>
      </c>
      <c r="I255" t="s">
        <v>10</v>
      </c>
      <c r="J255" t="s">
        <v>11</v>
      </c>
      <c r="K255" t="s">
        <v>7</v>
      </c>
      <c r="L255" t="str">
        <f t="shared" si="3"/>
        <v>2020JanuaryUrban</v>
      </c>
      <c r="M255">
        <v>78.842399999999998</v>
      </c>
      <c r="N255">
        <v>78.8</v>
      </c>
    </row>
    <row r="256" spans="1:14" x14ac:dyDescent="0.25">
      <c r="A256" s="1">
        <v>2020</v>
      </c>
      <c r="B256" s="1" t="s">
        <v>10</v>
      </c>
      <c r="C256" s="1" t="s">
        <v>11</v>
      </c>
      <c r="D256" s="1" t="s">
        <v>8</v>
      </c>
      <c r="E256" s="1">
        <v>79.110339999999979</v>
      </c>
      <c r="H256">
        <v>2020</v>
      </c>
      <c r="I256" t="s">
        <v>10</v>
      </c>
      <c r="J256" t="s">
        <v>11</v>
      </c>
      <c r="K256" t="s">
        <v>8</v>
      </c>
      <c r="L256" t="str">
        <f t="shared" si="3"/>
        <v>2020JanuaryCombined</v>
      </c>
      <c r="M256">
        <v>79.110339999999979</v>
      </c>
      <c r="N256">
        <v>79.099999999999994</v>
      </c>
    </row>
    <row r="257" spans="1:14" x14ac:dyDescent="0.25">
      <c r="A257" s="1">
        <v>2020</v>
      </c>
      <c r="B257" s="1" t="s">
        <v>14</v>
      </c>
      <c r="C257" s="1" t="s">
        <v>11</v>
      </c>
      <c r="D257" s="1" t="s">
        <v>6</v>
      </c>
      <c r="E257" s="1">
        <v>78.538880000000006</v>
      </c>
      <c r="H257">
        <v>2020</v>
      </c>
      <c r="I257" t="s">
        <v>14</v>
      </c>
      <c r="J257" t="s">
        <v>11</v>
      </c>
      <c r="K257" t="s">
        <v>6</v>
      </c>
      <c r="L257" t="str">
        <f t="shared" si="3"/>
        <v>2020FebruaryRural</v>
      </c>
      <c r="M257">
        <v>78.538880000000006</v>
      </c>
      <c r="N257">
        <v>78.5</v>
      </c>
    </row>
    <row r="258" spans="1:14" x14ac:dyDescent="0.25">
      <c r="A258" s="1">
        <v>2020</v>
      </c>
      <c r="B258" s="1" t="s">
        <v>14</v>
      </c>
      <c r="C258" s="1" t="s">
        <v>11</v>
      </c>
      <c r="D258" s="1" t="s">
        <v>7</v>
      </c>
      <c r="E258" s="1">
        <v>78.576399999999992</v>
      </c>
      <c r="H258">
        <v>2020</v>
      </c>
      <c r="I258" t="s">
        <v>14</v>
      </c>
      <c r="J258" t="s">
        <v>11</v>
      </c>
      <c r="K258" t="s">
        <v>7</v>
      </c>
      <c r="L258" t="str">
        <f t="shared" si="3"/>
        <v>2020FebruaryUrban</v>
      </c>
      <c r="M258">
        <v>78.576399999999992</v>
      </c>
      <c r="N258">
        <v>78.599999999999994</v>
      </c>
    </row>
    <row r="259" spans="1:14" x14ac:dyDescent="0.25">
      <c r="A259" s="1">
        <v>2020</v>
      </c>
      <c r="B259" s="1" t="s">
        <v>14</v>
      </c>
      <c r="C259" s="1" t="s">
        <v>11</v>
      </c>
      <c r="D259" s="1" t="s">
        <v>8</v>
      </c>
      <c r="E259" s="1">
        <v>78.530969999999982</v>
      </c>
      <c r="H259">
        <v>2020</v>
      </c>
      <c r="I259" t="s">
        <v>14</v>
      </c>
      <c r="J259" t="s">
        <v>11</v>
      </c>
      <c r="K259" t="s">
        <v>8</v>
      </c>
      <c r="L259" t="str">
        <f t="shared" ref="L259:L322" si="4">CONCATENATE(H259,I259,K259)</f>
        <v>2020FebruaryCombined</v>
      </c>
      <c r="M259">
        <v>78.530969999999982</v>
      </c>
      <c r="N259">
        <v>78.5</v>
      </c>
    </row>
    <row r="260" spans="1:14" x14ac:dyDescent="0.25">
      <c r="A260" s="1">
        <v>2020</v>
      </c>
      <c r="B260" s="1" t="s">
        <v>15</v>
      </c>
      <c r="C260" s="1" t="s">
        <v>11</v>
      </c>
      <c r="D260" s="1" t="s">
        <v>6</v>
      </c>
      <c r="E260" s="1">
        <v>78.225560000000002</v>
      </c>
      <c r="H260">
        <v>2020</v>
      </c>
      <c r="I260" t="s">
        <v>15</v>
      </c>
      <c r="J260" t="s">
        <v>11</v>
      </c>
      <c r="K260" t="s">
        <v>6</v>
      </c>
      <c r="L260" t="str">
        <f t="shared" si="4"/>
        <v>2020MarchRural</v>
      </c>
      <c r="M260">
        <v>78.225560000000002</v>
      </c>
      <c r="N260">
        <v>78.2</v>
      </c>
    </row>
    <row r="261" spans="1:14" x14ac:dyDescent="0.25">
      <c r="A261" s="1">
        <v>2020</v>
      </c>
      <c r="B261" s="1" t="s">
        <v>15</v>
      </c>
      <c r="C261" s="1" t="s">
        <v>11</v>
      </c>
      <c r="D261" s="1" t="s">
        <v>7</v>
      </c>
      <c r="E261" s="1">
        <v>78.363600000000005</v>
      </c>
      <c r="H261">
        <v>2020</v>
      </c>
      <c r="I261" t="s">
        <v>15</v>
      </c>
      <c r="J261" t="s">
        <v>11</v>
      </c>
      <c r="K261" t="s">
        <v>7</v>
      </c>
      <c r="L261" t="str">
        <f t="shared" si="4"/>
        <v>2020MarchUrban</v>
      </c>
      <c r="M261">
        <v>78.363600000000005</v>
      </c>
      <c r="N261">
        <v>78.400000000000006</v>
      </c>
    </row>
    <row r="262" spans="1:14" x14ac:dyDescent="0.25">
      <c r="A262" s="1">
        <v>2020</v>
      </c>
      <c r="B262" s="1" t="s">
        <v>15</v>
      </c>
      <c r="C262" s="1" t="s">
        <v>11</v>
      </c>
      <c r="D262" s="1" t="s">
        <v>8</v>
      </c>
      <c r="E262" s="1">
        <v>78.267619999999994</v>
      </c>
      <c r="H262">
        <v>2020</v>
      </c>
      <c r="I262" t="s">
        <v>15</v>
      </c>
      <c r="J262" t="s">
        <v>11</v>
      </c>
      <c r="K262" t="s">
        <v>8</v>
      </c>
      <c r="L262" t="str">
        <f t="shared" si="4"/>
        <v>2020MarchCombined</v>
      </c>
      <c r="M262">
        <v>78.267619999999994</v>
      </c>
      <c r="N262">
        <v>78.3</v>
      </c>
    </row>
    <row r="263" spans="1:14" x14ac:dyDescent="0.25">
      <c r="A263" s="1">
        <v>2020</v>
      </c>
      <c r="B263" s="1" t="s">
        <v>16</v>
      </c>
      <c r="C263" s="1" t="s">
        <v>11</v>
      </c>
      <c r="D263" s="1" t="s">
        <v>6</v>
      </c>
      <c r="E263" s="1">
        <v>79.322180000000003</v>
      </c>
      <c r="H263">
        <v>2020</v>
      </c>
      <c r="I263" t="s">
        <v>16</v>
      </c>
      <c r="J263" t="s">
        <v>11</v>
      </c>
      <c r="K263" t="s">
        <v>6</v>
      </c>
      <c r="L263" t="str">
        <f t="shared" si="4"/>
        <v>2020AprilRural</v>
      </c>
      <c r="M263">
        <v>79.322180000000003</v>
      </c>
      <c r="N263">
        <v>79.3</v>
      </c>
    </row>
    <row r="264" spans="1:14" x14ac:dyDescent="0.25">
      <c r="A264" s="1">
        <v>2020</v>
      </c>
      <c r="B264" s="1" t="s">
        <v>16</v>
      </c>
      <c r="C264" s="1" t="s">
        <v>11</v>
      </c>
      <c r="D264" s="1" t="s">
        <v>7</v>
      </c>
      <c r="E264" s="1">
        <v>80.278800000000004</v>
      </c>
      <c r="H264">
        <v>2020</v>
      </c>
      <c r="I264" t="s">
        <v>16</v>
      </c>
      <c r="J264" t="s">
        <v>11</v>
      </c>
      <c r="K264" t="s">
        <v>7</v>
      </c>
      <c r="L264" t="str">
        <f t="shared" si="4"/>
        <v>2020AprilUrban</v>
      </c>
      <c r="M264">
        <v>80.278800000000004</v>
      </c>
      <c r="N264">
        <v>80.3</v>
      </c>
    </row>
    <row r="265" spans="1:14" x14ac:dyDescent="0.25">
      <c r="A265" s="1">
        <v>2020</v>
      </c>
      <c r="B265" s="1" t="s">
        <v>16</v>
      </c>
      <c r="C265" s="1" t="s">
        <v>11</v>
      </c>
      <c r="D265" s="1" t="s">
        <v>8</v>
      </c>
      <c r="E265" s="1">
        <v>79.742379999999997</v>
      </c>
      <c r="H265">
        <v>2020</v>
      </c>
      <c r="I265" t="s">
        <v>16</v>
      </c>
      <c r="J265" t="s">
        <v>11</v>
      </c>
      <c r="K265" t="s">
        <v>8</v>
      </c>
      <c r="L265" t="str">
        <f t="shared" si="4"/>
        <v>2020AprilCombined</v>
      </c>
      <c r="M265">
        <v>79.742379999999997</v>
      </c>
      <c r="N265">
        <v>79.7</v>
      </c>
    </row>
    <row r="266" spans="1:14" x14ac:dyDescent="0.25">
      <c r="A266" s="1">
        <v>2020</v>
      </c>
      <c r="B266" s="1" t="s">
        <v>17</v>
      </c>
      <c r="C266" s="1" t="s">
        <v>11</v>
      </c>
      <c r="D266" s="1" t="s">
        <v>6</v>
      </c>
      <c r="E266" s="1">
        <v>78.956639999999993</v>
      </c>
      <c r="H266">
        <v>2020</v>
      </c>
      <c r="I266" t="s">
        <v>17</v>
      </c>
      <c r="J266" t="s">
        <v>11</v>
      </c>
      <c r="K266" t="s">
        <v>6</v>
      </c>
      <c r="L266" t="str">
        <f t="shared" si="4"/>
        <v>2020MayRural</v>
      </c>
      <c r="M266">
        <v>78.956639999999993</v>
      </c>
      <c r="N266">
        <v>79</v>
      </c>
    </row>
    <row r="267" spans="1:14" x14ac:dyDescent="0.25">
      <c r="A267" s="1">
        <v>2020</v>
      </c>
      <c r="B267" s="1" t="s">
        <v>17</v>
      </c>
      <c r="C267" s="1" t="s">
        <v>11</v>
      </c>
      <c r="D267" s="1" t="s">
        <v>7</v>
      </c>
      <c r="E267" s="1">
        <v>80.119200000000006</v>
      </c>
      <c r="H267">
        <v>2020</v>
      </c>
      <c r="I267" t="s">
        <v>17</v>
      </c>
      <c r="J267" t="s">
        <v>11</v>
      </c>
      <c r="K267" t="s">
        <v>7</v>
      </c>
      <c r="L267" t="str">
        <f t="shared" si="4"/>
        <v>2020MayUrban</v>
      </c>
      <c r="M267">
        <v>80.119200000000006</v>
      </c>
      <c r="N267">
        <v>80.099999999999994</v>
      </c>
    </row>
    <row r="268" spans="1:14" x14ac:dyDescent="0.25">
      <c r="A268" s="1">
        <v>2020</v>
      </c>
      <c r="B268" s="1" t="s">
        <v>17</v>
      </c>
      <c r="C268" s="1" t="s">
        <v>11</v>
      </c>
      <c r="D268" s="1" t="s">
        <v>8</v>
      </c>
      <c r="E268" s="1">
        <v>79.479029999999995</v>
      </c>
      <c r="H268">
        <v>2020</v>
      </c>
      <c r="I268" t="s">
        <v>17</v>
      </c>
      <c r="J268" t="s">
        <v>11</v>
      </c>
      <c r="K268" t="s">
        <v>8</v>
      </c>
      <c r="L268" t="str">
        <f t="shared" si="4"/>
        <v>2020MayCombined</v>
      </c>
      <c r="M268">
        <v>79.479029999999995</v>
      </c>
      <c r="N268">
        <v>79.5</v>
      </c>
    </row>
    <row r="269" spans="1:14" x14ac:dyDescent="0.25">
      <c r="A269" s="1">
        <v>2020</v>
      </c>
      <c r="B269" s="1" t="s">
        <v>18</v>
      </c>
      <c r="C269" s="1" t="s">
        <v>11</v>
      </c>
      <c r="D269" s="1" t="s">
        <v>6</v>
      </c>
      <c r="E269" s="1">
        <v>79.73993999999999</v>
      </c>
      <c r="H269">
        <v>2020</v>
      </c>
      <c r="I269" t="s">
        <v>18</v>
      </c>
      <c r="J269" t="s">
        <v>11</v>
      </c>
      <c r="K269" t="s">
        <v>6</v>
      </c>
      <c r="L269" t="str">
        <f t="shared" si="4"/>
        <v>2020JuneRural</v>
      </c>
      <c r="M269">
        <v>79.73993999999999</v>
      </c>
      <c r="N269">
        <v>79.7</v>
      </c>
    </row>
    <row r="270" spans="1:14" x14ac:dyDescent="0.25">
      <c r="A270" s="1">
        <v>2020</v>
      </c>
      <c r="B270" s="1" t="s">
        <v>18</v>
      </c>
      <c r="C270" s="1" t="s">
        <v>11</v>
      </c>
      <c r="D270" s="1" t="s">
        <v>7</v>
      </c>
      <c r="E270" s="1">
        <v>80.225600000000014</v>
      </c>
      <c r="H270">
        <v>2020</v>
      </c>
      <c r="I270" t="s">
        <v>18</v>
      </c>
      <c r="J270" t="s">
        <v>11</v>
      </c>
      <c r="K270" t="s">
        <v>7</v>
      </c>
      <c r="L270" t="str">
        <f t="shared" si="4"/>
        <v>2020JuneUrban</v>
      </c>
      <c r="M270">
        <v>80.225600000000014</v>
      </c>
      <c r="N270">
        <v>80.2</v>
      </c>
    </row>
    <row r="271" spans="1:14" x14ac:dyDescent="0.25">
      <c r="A271" s="1">
        <v>2020</v>
      </c>
      <c r="B271" s="1" t="s">
        <v>18</v>
      </c>
      <c r="C271" s="1" t="s">
        <v>11</v>
      </c>
      <c r="D271" s="1" t="s">
        <v>8</v>
      </c>
      <c r="E271" s="1">
        <v>79.953059999999994</v>
      </c>
      <c r="H271">
        <v>2020</v>
      </c>
      <c r="I271" t="s">
        <v>18</v>
      </c>
      <c r="J271" t="s">
        <v>11</v>
      </c>
      <c r="K271" t="s">
        <v>8</v>
      </c>
      <c r="L271" t="str">
        <f t="shared" si="4"/>
        <v>2020JuneCombined</v>
      </c>
      <c r="M271">
        <v>79.953059999999994</v>
      </c>
      <c r="N271">
        <v>80</v>
      </c>
    </row>
    <row r="272" spans="1:14" x14ac:dyDescent="0.25">
      <c r="A272" s="1">
        <v>2020</v>
      </c>
      <c r="B272" s="1" t="s">
        <v>19</v>
      </c>
      <c r="C272" s="1" t="s">
        <v>11</v>
      </c>
      <c r="D272" s="1" t="s">
        <v>6</v>
      </c>
      <c r="E272" s="1">
        <v>80.78434</v>
      </c>
      <c r="H272">
        <v>2020</v>
      </c>
      <c r="I272" t="s">
        <v>19</v>
      </c>
      <c r="J272" t="s">
        <v>11</v>
      </c>
      <c r="K272" t="s">
        <v>6</v>
      </c>
      <c r="L272" t="str">
        <f t="shared" si="4"/>
        <v>2020JulyRural</v>
      </c>
      <c r="M272">
        <v>80.78434</v>
      </c>
      <c r="N272">
        <v>80.8</v>
      </c>
    </row>
    <row r="273" spans="1:14" x14ac:dyDescent="0.25">
      <c r="A273" s="1">
        <v>2020</v>
      </c>
      <c r="B273" s="1" t="s">
        <v>19</v>
      </c>
      <c r="C273" s="1" t="s">
        <v>11</v>
      </c>
      <c r="D273" s="1" t="s">
        <v>7</v>
      </c>
      <c r="E273" s="1">
        <v>81.342800000000011</v>
      </c>
      <c r="H273">
        <v>2020</v>
      </c>
      <c r="I273" t="s">
        <v>19</v>
      </c>
      <c r="J273" t="s">
        <v>11</v>
      </c>
      <c r="K273" t="s">
        <v>7</v>
      </c>
      <c r="L273" t="str">
        <f t="shared" si="4"/>
        <v>2020JulyUrban</v>
      </c>
      <c r="M273">
        <v>81.342800000000011</v>
      </c>
      <c r="N273">
        <v>81.3</v>
      </c>
    </row>
    <row r="274" spans="1:14" x14ac:dyDescent="0.25">
      <c r="A274" s="1">
        <v>2020</v>
      </c>
      <c r="B274" s="1" t="s">
        <v>19</v>
      </c>
      <c r="C274" s="1" t="s">
        <v>11</v>
      </c>
      <c r="D274" s="1" t="s">
        <v>8</v>
      </c>
      <c r="E274" s="1">
        <v>81.059129999999996</v>
      </c>
      <c r="H274">
        <v>2020</v>
      </c>
      <c r="I274" t="s">
        <v>19</v>
      </c>
      <c r="J274" t="s">
        <v>11</v>
      </c>
      <c r="K274" t="s">
        <v>8</v>
      </c>
      <c r="L274" t="str">
        <f t="shared" si="4"/>
        <v>2020JulyCombined</v>
      </c>
      <c r="M274">
        <v>81.059129999999996</v>
      </c>
      <c r="N274">
        <v>81.099999999999994</v>
      </c>
    </row>
    <row r="275" spans="1:14" x14ac:dyDescent="0.25">
      <c r="A275" s="1">
        <v>2020</v>
      </c>
      <c r="B275" s="1" t="s">
        <v>20</v>
      </c>
      <c r="C275" s="1" t="s">
        <v>11</v>
      </c>
      <c r="D275" s="1" t="s">
        <v>6</v>
      </c>
      <c r="E275" s="1">
        <v>81.149879999999996</v>
      </c>
      <c r="H275">
        <v>2020</v>
      </c>
      <c r="I275" t="s">
        <v>20</v>
      </c>
      <c r="J275" t="s">
        <v>11</v>
      </c>
      <c r="K275" t="s">
        <v>6</v>
      </c>
      <c r="L275" t="str">
        <f t="shared" si="4"/>
        <v>2020AugustRural</v>
      </c>
      <c r="M275">
        <v>81.149879999999996</v>
      </c>
      <c r="N275">
        <v>81.099999999999994</v>
      </c>
    </row>
    <row r="276" spans="1:14" x14ac:dyDescent="0.25">
      <c r="A276" s="1">
        <v>2020</v>
      </c>
      <c r="B276" s="1" t="s">
        <v>20</v>
      </c>
      <c r="C276" s="1" t="s">
        <v>11</v>
      </c>
      <c r="D276" s="1" t="s">
        <v>7</v>
      </c>
      <c r="E276" s="1">
        <v>81.927999999999997</v>
      </c>
      <c r="H276">
        <v>2020</v>
      </c>
      <c r="I276" t="s">
        <v>20</v>
      </c>
      <c r="J276" t="s">
        <v>11</v>
      </c>
      <c r="K276" t="s">
        <v>7</v>
      </c>
      <c r="L276" t="str">
        <f t="shared" si="4"/>
        <v>2020AugustUrban</v>
      </c>
      <c r="M276">
        <v>81.927999999999997</v>
      </c>
      <c r="N276">
        <v>81.900000000000006</v>
      </c>
    </row>
    <row r="277" spans="1:14" x14ac:dyDescent="0.25">
      <c r="A277" s="1">
        <v>2020</v>
      </c>
      <c r="B277" s="1" t="s">
        <v>20</v>
      </c>
      <c r="C277" s="1" t="s">
        <v>11</v>
      </c>
      <c r="D277" s="1" t="s">
        <v>8</v>
      </c>
      <c r="E277" s="1">
        <v>81.480489999999989</v>
      </c>
      <c r="H277">
        <v>2020</v>
      </c>
      <c r="I277" t="s">
        <v>20</v>
      </c>
      <c r="J277" t="s">
        <v>11</v>
      </c>
      <c r="K277" t="s">
        <v>8</v>
      </c>
      <c r="L277" t="str">
        <f t="shared" si="4"/>
        <v>2020AugustCombined</v>
      </c>
      <c r="M277">
        <v>81.480489999999989</v>
      </c>
      <c r="N277">
        <v>81.5</v>
      </c>
    </row>
    <row r="278" spans="1:14" x14ac:dyDescent="0.25">
      <c r="A278" s="1">
        <v>2020</v>
      </c>
      <c r="B278" s="1" t="s">
        <v>21</v>
      </c>
      <c r="C278" s="1" t="s">
        <v>11</v>
      </c>
      <c r="D278" s="1" t="s">
        <v>6</v>
      </c>
      <c r="E278" s="1">
        <v>82.246499999999997</v>
      </c>
      <c r="H278">
        <v>2020</v>
      </c>
      <c r="I278" t="s">
        <v>21</v>
      </c>
      <c r="J278" t="s">
        <v>11</v>
      </c>
      <c r="K278" t="s">
        <v>6</v>
      </c>
      <c r="L278" t="str">
        <f t="shared" si="4"/>
        <v>2020SeptemberRural</v>
      </c>
      <c r="M278">
        <v>82.246499999999997</v>
      </c>
      <c r="N278">
        <v>82.2</v>
      </c>
    </row>
    <row r="279" spans="1:14" x14ac:dyDescent="0.25">
      <c r="A279" s="1">
        <v>2020</v>
      </c>
      <c r="B279" s="1" t="s">
        <v>21</v>
      </c>
      <c r="C279" s="1" t="s">
        <v>11</v>
      </c>
      <c r="D279" s="1" t="s">
        <v>7</v>
      </c>
      <c r="E279" s="1">
        <v>82.566400000000002</v>
      </c>
      <c r="H279">
        <v>2020</v>
      </c>
      <c r="I279" t="s">
        <v>21</v>
      </c>
      <c r="J279" t="s">
        <v>11</v>
      </c>
      <c r="K279" t="s">
        <v>7</v>
      </c>
      <c r="L279" t="str">
        <f t="shared" si="4"/>
        <v>2020SeptemberUrban</v>
      </c>
      <c r="M279">
        <v>82.566400000000002</v>
      </c>
      <c r="N279">
        <v>82.6</v>
      </c>
    </row>
    <row r="280" spans="1:14" x14ac:dyDescent="0.25">
      <c r="A280" s="1">
        <v>2020</v>
      </c>
      <c r="B280" s="1" t="s">
        <v>21</v>
      </c>
      <c r="C280" s="1" t="s">
        <v>11</v>
      </c>
      <c r="D280" s="1" t="s">
        <v>8</v>
      </c>
      <c r="E280" s="1">
        <v>82.375879999999995</v>
      </c>
      <c r="H280">
        <v>2020</v>
      </c>
      <c r="I280" t="s">
        <v>21</v>
      </c>
      <c r="J280" t="s">
        <v>11</v>
      </c>
      <c r="K280" t="s">
        <v>8</v>
      </c>
      <c r="L280" t="str">
        <f t="shared" si="4"/>
        <v>2020SeptemberCombined</v>
      </c>
      <c r="M280">
        <v>82.375879999999995</v>
      </c>
      <c r="N280">
        <v>82.4</v>
      </c>
    </row>
    <row r="281" spans="1:14" x14ac:dyDescent="0.25">
      <c r="A281" s="1">
        <v>2020</v>
      </c>
      <c r="B281" s="1" t="s">
        <v>22</v>
      </c>
      <c r="C281" s="1" t="s">
        <v>11</v>
      </c>
      <c r="D281" s="1" t="s">
        <v>6</v>
      </c>
      <c r="E281" s="1">
        <v>83.44756000000001</v>
      </c>
      <c r="H281">
        <v>2020</v>
      </c>
      <c r="I281" t="s">
        <v>22</v>
      </c>
      <c r="J281" t="s">
        <v>11</v>
      </c>
      <c r="K281" t="s">
        <v>6</v>
      </c>
      <c r="L281" t="str">
        <f t="shared" si="4"/>
        <v>2020OctoberRural</v>
      </c>
      <c r="M281">
        <v>83.44756000000001</v>
      </c>
      <c r="N281">
        <v>83.4</v>
      </c>
    </row>
    <row r="282" spans="1:14" x14ac:dyDescent="0.25">
      <c r="A282" s="1">
        <v>2020</v>
      </c>
      <c r="B282" s="1" t="s">
        <v>22</v>
      </c>
      <c r="C282" s="1" t="s">
        <v>11</v>
      </c>
      <c r="D282" s="1" t="s">
        <v>7</v>
      </c>
      <c r="E282" s="1">
        <v>83.364400000000003</v>
      </c>
      <c r="H282">
        <v>2020</v>
      </c>
      <c r="I282" t="s">
        <v>22</v>
      </c>
      <c r="J282" t="s">
        <v>11</v>
      </c>
      <c r="K282" t="s">
        <v>7</v>
      </c>
      <c r="L282" t="str">
        <f t="shared" si="4"/>
        <v>2020OctoberUrban</v>
      </c>
      <c r="M282">
        <v>83.364400000000003</v>
      </c>
      <c r="N282">
        <v>83.4</v>
      </c>
    </row>
    <row r="283" spans="1:14" x14ac:dyDescent="0.25">
      <c r="A283" s="1">
        <v>2020</v>
      </c>
      <c r="B283" s="1" t="s">
        <v>22</v>
      </c>
      <c r="C283" s="1" t="s">
        <v>11</v>
      </c>
      <c r="D283" s="1" t="s">
        <v>8</v>
      </c>
      <c r="E283" s="1">
        <v>83.429279999999991</v>
      </c>
      <c r="H283">
        <v>2020</v>
      </c>
      <c r="I283" t="s">
        <v>22</v>
      </c>
      <c r="J283" t="s">
        <v>11</v>
      </c>
      <c r="K283" t="s">
        <v>8</v>
      </c>
      <c r="L283" t="str">
        <f t="shared" si="4"/>
        <v>2020OctoberCombined</v>
      </c>
      <c r="M283">
        <v>83.429279999999991</v>
      </c>
      <c r="N283">
        <v>83.4</v>
      </c>
    </row>
    <row r="284" spans="1:14" x14ac:dyDescent="0.25">
      <c r="A284" s="1">
        <v>2020</v>
      </c>
      <c r="B284" s="1" t="s">
        <v>23</v>
      </c>
      <c r="C284" s="1" t="s">
        <v>11</v>
      </c>
      <c r="D284" s="1" t="s">
        <v>6</v>
      </c>
      <c r="E284" s="1">
        <v>83.917539999999988</v>
      </c>
      <c r="H284">
        <v>2020</v>
      </c>
      <c r="I284" t="s">
        <v>23</v>
      </c>
      <c r="J284" t="s">
        <v>11</v>
      </c>
      <c r="K284" t="s">
        <v>6</v>
      </c>
      <c r="L284" t="str">
        <f t="shared" si="4"/>
        <v>2020NovemberRural</v>
      </c>
      <c r="M284">
        <v>83.917539999999988</v>
      </c>
      <c r="N284">
        <v>83.9</v>
      </c>
    </row>
    <row r="285" spans="1:14" x14ac:dyDescent="0.25">
      <c r="A285" s="1">
        <v>2020</v>
      </c>
      <c r="B285" s="1" t="s">
        <v>23</v>
      </c>
      <c r="C285" s="1" t="s">
        <v>11</v>
      </c>
      <c r="D285" s="1" t="s">
        <v>7</v>
      </c>
      <c r="E285" s="1">
        <v>83.470800000000011</v>
      </c>
      <c r="H285">
        <v>2020</v>
      </c>
      <c r="I285" t="s">
        <v>23</v>
      </c>
      <c r="J285" t="s">
        <v>11</v>
      </c>
      <c r="K285" t="s">
        <v>7</v>
      </c>
      <c r="L285" t="str">
        <f t="shared" si="4"/>
        <v>2020NovemberUrban</v>
      </c>
      <c r="M285">
        <v>83.470800000000011</v>
      </c>
      <c r="N285">
        <v>83.5</v>
      </c>
    </row>
    <row r="286" spans="1:14" x14ac:dyDescent="0.25">
      <c r="A286" s="1">
        <v>2020</v>
      </c>
      <c r="B286" s="1" t="s">
        <v>23</v>
      </c>
      <c r="C286" s="1" t="s">
        <v>11</v>
      </c>
      <c r="D286" s="1" t="s">
        <v>8</v>
      </c>
      <c r="E286" s="1">
        <v>83.692629999999994</v>
      </c>
      <c r="H286">
        <v>2020</v>
      </c>
      <c r="I286" t="s">
        <v>23</v>
      </c>
      <c r="J286" t="s">
        <v>11</v>
      </c>
      <c r="K286" t="s">
        <v>8</v>
      </c>
      <c r="L286" t="str">
        <f t="shared" si="4"/>
        <v>2020NovemberCombined</v>
      </c>
      <c r="M286">
        <v>83.692629999999994</v>
      </c>
      <c r="N286">
        <v>83.7</v>
      </c>
    </row>
    <row r="287" spans="1:14" x14ac:dyDescent="0.25">
      <c r="A287" s="1">
        <v>2020</v>
      </c>
      <c r="B287" s="1" t="s">
        <v>24</v>
      </c>
      <c r="C287" s="1" t="s">
        <v>11</v>
      </c>
      <c r="D287" s="1" t="s">
        <v>6</v>
      </c>
      <c r="E287" s="1">
        <v>82.768699999999995</v>
      </c>
      <c r="H287">
        <v>2020</v>
      </c>
      <c r="I287" t="s">
        <v>24</v>
      </c>
      <c r="J287" t="s">
        <v>11</v>
      </c>
      <c r="K287" t="s">
        <v>6</v>
      </c>
      <c r="L287" t="str">
        <f t="shared" si="4"/>
        <v>2020DecemberRural</v>
      </c>
      <c r="M287">
        <v>82.768699999999995</v>
      </c>
      <c r="N287">
        <v>82.8</v>
      </c>
    </row>
    <row r="288" spans="1:14" x14ac:dyDescent="0.25">
      <c r="A288" s="1">
        <v>2020</v>
      </c>
      <c r="B288" s="1" t="s">
        <v>24</v>
      </c>
      <c r="C288" s="1" t="s">
        <v>11</v>
      </c>
      <c r="D288" s="1" t="s">
        <v>7</v>
      </c>
      <c r="E288" s="1">
        <v>82.992000000000004</v>
      </c>
      <c r="H288">
        <v>2020</v>
      </c>
      <c r="I288" t="s">
        <v>24</v>
      </c>
      <c r="J288" t="s">
        <v>11</v>
      </c>
      <c r="K288" t="s">
        <v>7</v>
      </c>
      <c r="L288" t="str">
        <f t="shared" si="4"/>
        <v>2020DecemberUrban</v>
      </c>
      <c r="M288">
        <v>82.992000000000004</v>
      </c>
      <c r="N288">
        <v>83</v>
      </c>
    </row>
    <row r="289" spans="1:14" x14ac:dyDescent="0.25">
      <c r="A289" s="1">
        <v>2020</v>
      </c>
      <c r="B289" s="1" t="s">
        <v>24</v>
      </c>
      <c r="C289" s="1" t="s">
        <v>11</v>
      </c>
      <c r="D289" s="1" t="s">
        <v>8</v>
      </c>
      <c r="E289" s="1">
        <v>82.849909999999994</v>
      </c>
      <c r="H289">
        <v>2020</v>
      </c>
      <c r="I289" t="s">
        <v>24</v>
      </c>
      <c r="J289" t="s">
        <v>11</v>
      </c>
      <c r="K289" t="s">
        <v>8</v>
      </c>
      <c r="L289" t="str">
        <f t="shared" si="4"/>
        <v>2020DecemberCombined</v>
      </c>
      <c r="M289">
        <v>82.849909999999994</v>
      </c>
      <c r="N289">
        <v>82.8</v>
      </c>
    </row>
    <row r="290" spans="1:14" x14ac:dyDescent="0.25">
      <c r="A290" s="1">
        <v>2021</v>
      </c>
      <c r="B290" s="1" t="s">
        <v>10</v>
      </c>
      <c r="C290" s="1" t="s">
        <v>11</v>
      </c>
      <c r="D290" s="1" t="s">
        <v>6</v>
      </c>
      <c r="E290" s="1">
        <v>81.880960000000002</v>
      </c>
      <c r="H290">
        <v>2021</v>
      </c>
      <c r="I290" t="s">
        <v>10</v>
      </c>
      <c r="J290" t="s">
        <v>11</v>
      </c>
      <c r="K290" t="s">
        <v>6</v>
      </c>
      <c r="L290" t="str">
        <f t="shared" si="4"/>
        <v>2021JanuaryRural</v>
      </c>
      <c r="M290">
        <v>81.880960000000002</v>
      </c>
      <c r="N290">
        <v>81.900000000000006</v>
      </c>
    </row>
    <row r="291" spans="1:14" x14ac:dyDescent="0.25">
      <c r="A291" s="1">
        <v>2021</v>
      </c>
      <c r="B291" s="1" t="s">
        <v>10</v>
      </c>
      <c r="C291" s="1" t="s">
        <v>11</v>
      </c>
      <c r="D291" s="1" t="s">
        <v>7</v>
      </c>
      <c r="E291" s="1">
        <v>82.885600000000011</v>
      </c>
      <c r="H291">
        <v>2021</v>
      </c>
      <c r="I291" t="s">
        <v>10</v>
      </c>
      <c r="J291" t="s">
        <v>11</v>
      </c>
      <c r="K291" t="s">
        <v>7</v>
      </c>
      <c r="L291" t="str">
        <f t="shared" si="4"/>
        <v>2021JanuaryUrban</v>
      </c>
      <c r="M291">
        <v>82.885600000000011</v>
      </c>
      <c r="N291">
        <v>82.9</v>
      </c>
    </row>
    <row r="292" spans="1:14" x14ac:dyDescent="0.25">
      <c r="A292" s="1">
        <v>2021</v>
      </c>
      <c r="B292" s="1" t="s">
        <v>10</v>
      </c>
      <c r="C292" s="1" t="s">
        <v>11</v>
      </c>
      <c r="D292" s="1" t="s">
        <v>8</v>
      </c>
      <c r="E292" s="1">
        <v>82.323210000000003</v>
      </c>
      <c r="H292">
        <v>2021</v>
      </c>
      <c r="I292" t="s">
        <v>10</v>
      </c>
      <c r="J292" t="s">
        <v>11</v>
      </c>
      <c r="K292" t="s">
        <v>8</v>
      </c>
      <c r="L292" t="str">
        <f t="shared" si="4"/>
        <v>2021JanuaryCombined</v>
      </c>
      <c r="M292">
        <v>82.323210000000003</v>
      </c>
      <c r="N292">
        <v>82.3</v>
      </c>
    </row>
    <row r="293" spans="1:14" x14ac:dyDescent="0.25">
      <c r="A293" s="1">
        <v>2021</v>
      </c>
      <c r="B293" s="1" t="s">
        <v>14</v>
      </c>
      <c r="C293" s="1" t="s">
        <v>11</v>
      </c>
      <c r="D293" s="1" t="s">
        <v>6</v>
      </c>
      <c r="E293" s="1">
        <v>81.828739999999996</v>
      </c>
      <c r="H293">
        <v>2021</v>
      </c>
      <c r="I293" t="s">
        <v>14</v>
      </c>
      <c r="J293" t="s">
        <v>11</v>
      </c>
      <c r="K293" t="s">
        <v>6</v>
      </c>
      <c r="L293" t="str">
        <f t="shared" si="4"/>
        <v>2021FebruaryRural</v>
      </c>
      <c r="M293">
        <v>81.828739999999996</v>
      </c>
      <c r="N293">
        <v>81.8</v>
      </c>
    </row>
    <row r="294" spans="1:14" x14ac:dyDescent="0.25">
      <c r="A294" s="1">
        <v>2021</v>
      </c>
      <c r="B294" s="1" t="s">
        <v>14</v>
      </c>
      <c r="C294" s="1" t="s">
        <v>11</v>
      </c>
      <c r="D294" s="1" t="s">
        <v>7</v>
      </c>
      <c r="E294" s="1">
        <v>83.25800000000001</v>
      </c>
      <c r="H294">
        <v>2021</v>
      </c>
      <c r="I294" t="s">
        <v>14</v>
      </c>
      <c r="J294" t="s">
        <v>11</v>
      </c>
      <c r="K294" t="s">
        <v>7</v>
      </c>
      <c r="L294" t="str">
        <f t="shared" si="4"/>
        <v>2021FebruaryUrban</v>
      </c>
      <c r="M294">
        <v>83.25800000000001</v>
      </c>
      <c r="N294">
        <v>83.3</v>
      </c>
    </row>
    <row r="295" spans="1:14" x14ac:dyDescent="0.25">
      <c r="A295" s="1">
        <v>2021</v>
      </c>
      <c r="B295" s="1" t="s">
        <v>14</v>
      </c>
      <c r="C295" s="1" t="s">
        <v>11</v>
      </c>
      <c r="D295" s="1" t="s">
        <v>8</v>
      </c>
      <c r="E295" s="1">
        <v>82.481219999999993</v>
      </c>
      <c r="H295">
        <v>2021</v>
      </c>
      <c r="I295" t="s">
        <v>14</v>
      </c>
      <c r="J295" t="s">
        <v>11</v>
      </c>
      <c r="K295" t="s">
        <v>8</v>
      </c>
      <c r="L295" t="str">
        <f t="shared" si="4"/>
        <v>2021FebruaryCombined</v>
      </c>
      <c r="M295">
        <v>82.481219999999993</v>
      </c>
      <c r="N295">
        <v>82.5</v>
      </c>
    </row>
    <row r="296" spans="1:14" x14ac:dyDescent="0.25">
      <c r="A296" s="1">
        <v>2021</v>
      </c>
      <c r="B296" s="1" t="s">
        <v>15</v>
      </c>
      <c r="C296" s="1" t="s">
        <v>11</v>
      </c>
      <c r="D296" s="1" t="s">
        <v>6</v>
      </c>
      <c r="E296" s="1">
        <v>81.828739999999996</v>
      </c>
      <c r="H296">
        <v>2021</v>
      </c>
      <c r="I296" t="s">
        <v>15</v>
      </c>
      <c r="J296" t="s">
        <v>11</v>
      </c>
      <c r="K296" t="s">
        <v>6</v>
      </c>
      <c r="L296" t="str">
        <f t="shared" si="4"/>
        <v>2021MarchRural</v>
      </c>
      <c r="M296">
        <v>81.828739999999996</v>
      </c>
      <c r="N296">
        <v>81.8</v>
      </c>
    </row>
    <row r="297" spans="1:14" x14ac:dyDescent="0.25">
      <c r="A297" s="1">
        <v>2021</v>
      </c>
      <c r="B297" s="1" t="s">
        <v>15</v>
      </c>
      <c r="C297" s="1" t="s">
        <v>11</v>
      </c>
      <c r="D297" s="1" t="s">
        <v>7</v>
      </c>
      <c r="E297" s="1">
        <v>83.470800000000011</v>
      </c>
      <c r="H297">
        <v>2021</v>
      </c>
      <c r="I297" t="s">
        <v>15</v>
      </c>
      <c r="J297" t="s">
        <v>11</v>
      </c>
      <c r="K297" t="s">
        <v>7</v>
      </c>
      <c r="L297" t="str">
        <f t="shared" si="4"/>
        <v>2021MarchUrban</v>
      </c>
      <c r="M297">
        <v>83.470800000000011</v>
      </c>
      <c r="N297">
        <v>83.5</v>
      </c>
    </row>
    <row r="298" spans="1:14" x14ac:dyDescent="0.25">
      <c r="A298" s="1">
        <v>2021</v>
      </c>
      <c r="B298" s="1" t="s">
        <v>15</v>
      </c>
      <c r="C298" s="1" t="s">
        <v>11</v>
      </c>
      <c r="D298" s="1" t="s">
        <v>8</v>
      </c>
      <c r="E298" s="1">
        <v>82.586559999999992</v>
      </c>
      <c r="H298">
        <v>2021</v>
      </c>
      <c r="I298" t="s">
        <v>15</v>
      </c>
      <c r="J298" t="s">
        <v>11</v>
      </c>
      <c r="K298" t="s">
        <v>8</v>
      </c>
      <c r="L298" t="str">
        <f t="shared" si="4"/>
        <v>2021MarchCombined</v>
      </c>
      <c r="M298">
        <v>82.586559999999992</v>
      </c>
      <c r="N298">
        <v>82.6</v>
      </c>
    </row>
    <row r="299" spans="1:14" x14ac:dyDescent="0.25">
      <c r="A299" s="1">
        <v>2021</v>
      </c>
      <c r="B299" s="1" t="s">
        <v>16</v>
      </c>
      <c r="C299" s="1" t="s">
        <v>11</v>
      </c>
      <c r="D299" s="1" t="s">
        <v>6</v>
      </c>
      <c r="E299" s="1">
        <v>82.298720000000003</v>
      </c>
      <c r="H299">
        <v>2021</v>
      </c>
      <c r="I299" t="s">
        <v>16</v>
      </c>
      <c r="J299" t="s">
        <v>11</v>
      </c>
      <c r="K299" t="s">
        <v>6</v>
      </c>
      <c r="L299" t="str">
        <f t="shared" si="4"/>
        <v>2021AprilRural</v>
      </c>
      <c r="M299">
        <v>82.298720000000003</v>
      </c>
      <c r="N299">
        <v>82.3</v>
      </c>
    </row>
    <row r="300" spans="1:14" x14ac:dyDescent="0.25">
      <c r="A300" s="1">
        <v>2021</v>
      </c>
      <c r="B300" s="1" t="s">
        <v>16</v>
      </c>
      <c r="C300" s="1" t="s">
        <v>11</v>
      </c>
      <c r="D300" s="1" t="s">
        <v>7</v>
      </c>
      <c r="E300" s="1">
        <v>84.056000000000012</v>
      </c>
      <c r="H300">
        <v>2021</v>
      </c>
      <c r="I300" t="s">
        <v>16</v>
      </c>
      <c r="J300" t="s">
        <v>11</v>
      </c>
      <c r="K300" t="s">
        <v>7</v>
      </c>
      <c r="L300" t="str">
        <f t="shared" si="4"/>
        <v>2021AprilUrban</v>
      </c>
      <c r="M300">
        <v>84.056000000000012</v>
      </c>
      <c r="N300">
        <v>84.1</v>
      </c>
    </row>
    <row r="301" spans="1:14" x14ac:dyDescent="0.25">
      <c r="A301" s="1">
        <v>2021</v>
      </c>
      <c r="B301" s="1" t="s">
        <v>16</v>
      </c>
      <c r="C301" s="1" t="s">
        <v>11</v>
      </c>
      <c r="D301" s="1" t="s">
        <v>8</v>
      </c>
      <c r="E301" s="1">
        <v>83.113259999999997</v>
      </c>
      <c r="H301">
        <v>2021</v>
      </c>
      <c r="I301" t="s">
        <v>16</v>
      </c>
      <c r="J301" t="s">
        <v>11</v>
      </c>
      <c r="K301" t="s">
        <v>8</v>
      </c>
      <c r="L301" t="str">
        <f t="shared" si="4"/>
        <v>2021AprilCombined</v>
      </c>
      <c r="M301">
        <v>83.113259999999997</v>
      </c>
      <c r="N301">
        <v>83.1</v>
      </c>
    </row>
    <row r="302" spans="1:14" x14ac:dyDescent="0.25">
      <c r="A302" s="1">
        <v>2021</v>
      </c>
      <c r="B302" s="1" t="s">
        <v>17</v>
      </c>
      <c r="C302" s="1" t="s">
        <v>11</v>
      </c>
      <c r="D302" s="1" t="s">
        <v>6</v>
      </c>
      <c r="E302" s="1">
        <v>84.126419999999996</v>
      </c>
      <c r="H302">
        <v>2021</v>
      </c>
      <c r="I302" t="s">
        <v>17</v>
      </c>
      <c r="J302" t="s">
        <v>11</v>
      </c>
      <c r="K302" t="s">
        <v>6</v>
      </c>
      <c r="L302" t="str">
        <f t="shared" si="4"/>
        <v>2021MayRural</v>
      </c>
      <c r="M302">
        <v>84.126419999999996</v>
      </c>
      <c r="N302">
        <v>84.1</v>
      </c>
    </row>
    <row r="303" spans="1:14" x14ac:dyDescent="0.25">
      <c r="A303" s="1">
        <v>2021</v>
      </c>
      <c r="B303" s="1" t="s">
        <v>17</v>
      </c>
      <c r="C303" s="1" t="s">
        <v>11</v>
      </c>
      <c r="D303" s="1" t="s">
        <v>7</v>
      </c>
      <c r="E303" s="1">
        <v>84.853999999999999</v>
      </c>
      <c r="H303">
        <v>2021</v>
      </c>
      <c r="I303" t="s">
        <v>17</v>
      </c>
      <c r="J303" t="s">
        <v>11</v>
      </c>
      <c r="K303" t="s">
        <v>7</v>
      </c>
      <c r="L303" t="str">
        <f t="shared" si="4"/>
        <v>2021MayUrban</v>
      </c>
      <c r="M303">
        <v>84.853999999999999</v>
      </c>
      <c r="N303">
        <v>84.9</v>
      </c>
    </row>
    <row r="304" spans="1:14" x14ac:dyDescent="0.25">
      <c r="A304" s="1">
        <v>2021</v>
      </c>
      <c r="B304" s="1" t="s">
        <v>17</v>
      </c>
      <c r="C304" s="1" t="s">
        <v>11</v>
      </c>
      <c r="D304" s="1" t="s">
        <v>8</v>
      </c>
      <c r="E304" s="1">
        <v>84.482679999999988</v>
      </c>
      <c r="H304">
        <v>2021</v>
      </c>
      <c r="I304" t="s">
        <v>17</v>
      </c>
      <c r="J304" t="s">
        <v>11</v>
      </c>
      <c r="K304" t="s">
        <v>8</v>
      </c>
      <c r="L304" t="str">
        <f t="shared" si="4"/>
        <v>2021MayCombined</v>
      </c>
      <c r="M304">
        <v>84.482679999999988</v>
      </c>
      <c r="N304">
        <v>84.5</v>
      </c>
    </row>
    <row r="305" spans="1:14" x14ac:dyDescent="0.25">
      <c r="A305" s="1">
        <v>2021</v>
      </c>
      <c r="B305" s="1" t="s">
        <v>18</v>
      </c>
      <c r="C305" s="1" t="s">
        <v>11</v>
      </c>
      <c r="D305" s="1" t="s">
        <v>6</v>
      </c>
      <c r="E305" s="1">
        <v>84.648619999999994</v>
      </c>
      <c r="H305">
        <v>2021</v>
      </c>
      <c r="I305" t="s">
        <v>18</v>
      </c>
      <c r="J305" t="s">
        <v>11</v>
      </c>
      <c r="K305" t="s">
        <v>6</v>
      </c>
      <c r="L305" t="str">
        <f t="shared" si="4"/>
        <v>2021JuneRural</v>
      </c>
      <c r="M305">
        <v>84.648619999999994</v>
      </c>
      <c r="N305">
        <v>84.6</v>
      </c>
    </row>
    <row r="306" spans="1:14" x14ac:dyDescent="0.25">
      <c r="A306" s="1">
        <v>2021</v>
      </c>
      <c r="B306" s="1" t="s">
        <v>18</v>
      </c>
      <c r="C306" s="1" t="s">
        <v>11</v>
      </c>
      <c r="D306" s="1" t="s">
        <v>7</v>
      </c>
      <c r="E306" s="1">
        <v>85.332800000000006</v>
      </c>
      <c r="H306">
        <v>2021</v>
      </c>
      <c r="I306" t="s">
        <v>18</v>
      </c>
      <c r="J306" t="s">
        <v>11</v>
      </c>
      <c r="K306" t="s">
        <v>7</v>
      </c>
      <c r="L306" t="str">
        <f t="shared" si="4"/>
        <v>2021JuneUrban</v>
      </c>
      <c r="M306">
        <v>85.332800000000006</v>
      </c>
      <c r="N306">
        <v>85.3</v>
      </c>
    </row>
    <row r="307" spans="1:14" x14ac:dyDescent="0.25">
      <c r="A307" s="1">
        <v>2021</v>
      </c>
      <c r="B307" s="1" t="s">
        <v>18</v>
      </c>
      <c r="C307" s="1" t="s">
        <v>11</v>
      </c>
      <c r="D307" s="1" t="s">
        <v>8</v>
      </c>
      <c r="E307" s="1">
        <v>84.956710000000001</v>
      </c>
      <c r="H307">
        <v>2021</v>
      </c>
      <c r="I307" t="s">
        <v>18</v>
      </c>
      <c r="J307" t="s">
        <v>11</v>
      </c>
      <c r="K307" t="s">
        <v>8</v>
      </c>
      <c r="L307" t="str">
        <f t="shared" si="4"/>
        <v>2021JuneCombined</v>
      </c>
      <c r="M307">
        <v>84.956710000000001</v>
      </c>
      <c r="N307">
        <v>85</v>
      </c>
    </row>
    <row r="308" spans="1:14" x14ac:dyDescent="0.25">
      <c r="A308" s="1">
        <v>2021</v>
      </c>
      <c r="B308" s="1" t="s">
        <v>19</v>
      </c>
      <c r="C308" s="1" t="s">
        <v>11</v>
      </c>
      <c r="D308" s="1" t="s">
        <v>6</v>
      </c>
      <c r="E308" s="1">
        <v>85.223039999999997</v>
      </c>
      <c r="H308">
        <v>2021</v>
      </c>
      <c r="I308" t="s">
        <v>19</v>
      </c>
      <c r="J308" t="s">
        <v>11</v>
      </c>
      <c r="K308" t="s">
        <v>6</v>
      </c>
      <c r="L308" t="str">
        <f t="shared" si="4"/>
        <v>2021JulyRural</v>
      </c>
      <c r="M308">
        <v>85.223039999999997</v>
      </c>
      <c r="N308">
        <v>85.2</v>
      </c>
    </row>
    <row r="309" spans="1:14" x14ac:dyDescent="0.25">
      <c r="A309" s="1">
        <v>2021</v>
      </c>
      <c r="B309" s="1" t="s">
        <v>19</v>
      </c>
      <c r="C309" s="1" t="s">
        <v>11</v>
      </c>
      <c r="D309" s="1" t="s">
        <v>7</v>
      </c>
      <c r="E309" s="1">
        <v>86.077600000000004</v>
      </c>
      <c r="H309">
        <v>2021</v>
      </c>
      <c r="I309" t="s">
        <v>19</v>
      </c>
      <c r="J309" t="s">
        <v>11</v>
      </c>
      <c r="K309" t="s">
        <v>7</v>
      </c>
      <c r="L309" t="str">
        <f t="shared" si="4"/>
        <v>2021JulyUrban</v>
      </c>
      <c r="M309">
        <v>86.077600000000004</v>
      </c>
      <c r="N309">
        <v>86.1</v>
      </c>
    </row>
    <row r="310" spans="1:14" x14ac:dyDescent="0.25">
      <c r="A310" s="1">
        <v>2021</v>
      </c>
      <c r="B310" s="1" t="s">
        <v>19</v>
      </c>
      <c r="C310" s="1" t="s">
        <v>11</v>
      </c>
      <c r="D310" s="1" t="s">
        <v>8</v>
      </c>
      <c r="E310" s="1">
        <v>85.58874999999999</v>
      </c>
      <c r="H310">
        <v>2021</v>
      </c>
      <c r="I310" t="s">
        <v>19</v>
      </c>
      <c r="J310" t="s">
        <v>11</v>
      </c>
      <c r="K310" t="s">
        <v>8</v>
      </c>
      <c r="L310" t="str">
        <f t="shared" si="4"/>
        <v>2021JulyCombined</v>
      </c>
      <c r="M310">
        <v>85.58874999999999</v>
      </c>
      <c r="N310">
        <v>85.6</v>
      </c>
    </row>
    <row r="311" spans="1:14" x14ac:dyDescent="0.25">
      <c r="A311" s="1">
        <v>2021</v>
      </c>
      <c r="B311" s="1" t="s">
        <v>20</v>
      </c>
      <c r="C311" s="1" t="s">
        <v>11</v>
      </c>
      <c r="D311" s="1" t="s">
        <v>6</v>
      </c>
      <c r="E311" s="1">
        <v>85.431919999999991</v>
      </c>
      <c r="H311">
        <v>2021</v>
      </c>
      <c r="I311" t="s">
        <v>20</v>
      </c>
      <c r="J311" t="s">
        <v>11</v>
      </c>
      <c r="K311" t="s">
        <v>6</v>
      </c>
      <c r="L311" t="str">
        <f t="shared" si="4"/>
        <v>2021AugustRural</v>
      </c>
      <c r="M311">
        <v>85.431919999999991</v>
      </c>
      <c r="N311">
        <v>85.4</v>
      </c>
    </row>
    <row r="312" spans="1:14" x14ac:dyDescent="0.25">
      <c r="A312" s="1">
        <v>2021</v>
      </c>
      <c r="B312" s="1" t="s">
        <v>20</v>
      </c>
      <c r="C312" s="1" t="s">
        <v>11</v>
      </c>
      <c r="D312" s="1" t="s">
        <v>7</v>
      </c>
      <c r="E312" s="1">
        <v>86.290400000000005</v>
      </c>
      <c r="H312">
        <v>2021</v>
      </c>
      <c r="I312" t="s">
        <v>20</v>
      </c>
      <c r="J312" t="s">
        <v>11</v>
      </c>
      <c r="K312" t="s">
        <v>7</v>
      </c>
      <c r="L312" t="str">
        <f t="shared" si="4"/>
        <v>2021AugustUrban</v>
      </c>
      <c r="M312">
        <v>86.290400000000005</v>
      </c>
      <c r="N312">
        <v>86.3</v>
      </c>
    </row>
    <row r="313" spans="1:14" x14ac:dyDescent="0.25">
      <c r="A313" s="1">
        <v>2021</v>
      </c>
      <c r="B313" s="1" t="s">
        <v>20</v>
      </c>
      <c r="C313" s="1" t="s">
        <v>11</v>
      </c>
      <c r="D313" s="1" t="s">
        <v>8</v>
      </c>
      <c r="E313" s="1">
        <v>85.799430000000001</v>
      </c>
      <c r="H313">
        <v>2021</v>
      </c>
      <c r="I313" t="s">
        <v>20</v>
      </c>
      <c r="J313" t="s">
        <v>11</v>
      </c>
      <c r="K313" t="s">
        <v>8</v>
      </c>
      <c r="L313" t="str">
        <f t="shared" si="4"/>
        <v>2021AugustCombined</v>
      </c>
      <c r="M313">
        <v>85.799430000000001</v>
      </c>
      <c r="N313">
        <v>85.8</v>
      </c>
    </row>
    <row r="314" spans="1:14" x14ac:dyDescent="0.25">
      <c r="A314" s="1">
        <v>2021</v>
      </c>
      <c r="B314" s="1" t="s">
        <v>21</v>
      </c>
      <c r="C314" s="1" t="s">
        <v>11</v>
      </c>
      <c r="D314" s="1" t="s">
        <v>6</v>
      </c>
      <c r="E314" s="1">
        <v>85.640799999999999</v>
      </c>
      <c r="H314">
        <v>2021</v>
      </c>
      <c r="I314" t="s">
        <v>21</v>
      </c>
      <c r="J314" t="s">
        <v>11</v>
      </c>
      <c r="K314" t="s">
        <v>6</v>
      </c>
      <c r="L314" t="str">
        <f t="shared" si="4"/>
        <v>2021SeptemberRural</v>
      </c>
      <c r="M314">
        <v>85.640799999999999</v>
      </c>
      <c r="N314">
        <v>85.6</v>
      </c>
    </row>
    <row r="315" spans="1:14" x14ac:dyDescent="0.25">
      <c r="A315" s="1">
        <v>2021</v>
      </c>
      <c r="B315" s="1" t="s">
        <v>21</v>
      </c>
      <c r="C315" s="1" t="s">
        <v>11</v>
      </c>
      <c r="D315" s="1" t="s">
        <v>7</v>
      </c>
      <c r="E315" s="1">
        <v>86.343600000000009</v>
      </c>
      <c r="H315">
        <v>2021</v>
      </c>
      <c r="I315" t="s">
        <v>21</v>
      </c>
      <c r="J315" t="s">
        <v>11</v>
      </c>
      <c r="K315" t="s">
        <v>7</v>
      </c>
      <c r="L315" t="str">
        <f t="shared" si="4"/>
        <v>2021SeptemberUrban</v>
      </c>
      <c r="M315">
        <v>86.343600000000009</v>
      </c>
      <c r="N315">
        <v>86.3</v>
      </c>
    </row>
    <row r="316" spans="1:14" x14ac:dyDescent="0.25">
      <c r="A316" s="1">
        <v>2021</v>
      </c>
      <c r="B316" s="1" t="s">
        <v>21</v>
      </c>
      <c r="C316" s="1" t="s">
        <v>11</v>
      </c>
      <c r="D316" s="1" t="s">
        <v>8</v>
      </c>
      <c r="E316" s="1">
        <v>85.957439999999991</v>
      </c>
      <c r="H316">
        <v>2021</v>
      </c>
      <c r="I316" t="s">
        <v>21</v>
      </c>
      <c r="J316" t="s">
        <v>11</v>
      </c>
      <c r="K316" t="s">
        <v>8</v>
      </c>
      <c r="L316" t="str">
        <f t="shared" si="4"/>
        <v>2021SeptemberCombined</v>
      </c>
      <c r="M316">
        <v>85.957439999999991</v>
      </c>
      <c r="N316">
        <v>86</v>
      </c>
    </row>
    <row r="317" spans="1:14" x14ac:dyDescent="0.25">
      <c r="A317" s="1">
        <v>2021</v>
      </c>
      <c r="B317" s="1" t="s">
        <v>22</v>
      </c>
      <c r="C317" s="1" t="s">
        <v>11</v>
      </c>
      <c r="D317" s="1" t="s">
        <v>6</v>
      </c>
      <c r="E317" s="1">
        <v>86.841860000000011</v>
      </c>
      <c r="H317">
        <v>2021</v>
      </c>
      <c r="I317" t="s">
        <v>22</v>
      </c>
      <c r="J317" t="s">
        <v>11</v>
      </c>
      <c r="K317" t="s">
        <v>6</v>
      </c>
      <c r="L317" t="str">
        <f t="shared" si="4"/>
        <v>2021OctoberRural</v>
      </c>
      <c r="M317">
        <v>86.841860000000011</v>
      </c>
      <c r="N317">
        <v>86.8</v>
      </c>
    </row>
    <row r="318" spans="1:14" x14ac:dyDescent="0.25">
      <c r="A318" s="1">
        <v>2021</v>
      </c>
      <c r="B318" s="1" t="s">
        <v>22</v>
      </c>
      <c r="C318" s="1" t="s">
        <v>11</v>
      </c>
      <c r="D318" s="1" t="s">
        <v>7</v>
      </c>
      <c r="E318" s="1">
        <v>87.5672</v>
      </c>
      <c r="H318">
        <v>2021</v>
      </c>
      <c r="I318" t="s">
        <v>22</v>
      </c>
      <c r="J318" t="s">
        <v>11</v>
      </c>
      <c r="K318" t="s">
        <v>7</v>
      </c>
      <c r="L318" t="str">
        <f t="shared" si="4"/>
        <v>2021OctoberUrban</v>
      </c>
      <c r="M318">
        <v>87.5672</v>
      </c>
      <c r="N318">
        <v>87.6</v>
      </c>
    </row>
    <row r="319" spans="1:14" x14ac:dyDescent="0.25">
      <c r="A319" s="1">
        <v>2021</v>
      </c>
      <c r="B319" s="1" t="s">
        <v>22</v>
      </c>
      <c r="C319" s="1" t="s">
        <v>11</v>
      </c>
      <c r="D319" s="1" t="s">
        <v>8</v>
      </c>
      <c r="E319" s="1">
        <v>87.168849999999992</v>
      </c>
      <c r="H319">
        <v>2021</v>
      </c>
      <c r="I319" t="s">
        <v>22</v>
      </c>
      <c r="J319" t="s">
        <v>11</v>
      </c>
      <c r="K319" t="s">
        <v>8</v>
      </c>
      <c r="L319" t="str">
        <f t="shared" si="4"/>
        <v>2021OctoberCombined</v>
      </c>
      <c r="M319">
        <v>87.168849999999992</v>
      </c>
      <c r="N319">
        <v>87.2</v>
      </c>
    </row>
    <row r="320" spans="1:14" x14ac:dyDescent="0.25">
      <c r="A320" s="1">
        <v>2021</v>
      </c>
      <c r="B320" s="1" t="s">
        <v>23</v>
      </c>
      <c r="C320" s="1" t="s">
        <v>11</v>
      </c>
      <c r="D320" s="1" t="s">
        <v>6</v>
      </c>
      <c r="E320" s="1">
        <v>87.520719999999997</v>
      </c>
      <c r="H320">
        <v>2021</v>
      </c>
      <c r="I320" t="s">
        <v>23</v>
      </c>
      <c r="J320" t="s">
        <v>11</v>
      </c>
      <c r="K320" t="s">
        <v>6</v>
      </c>
      <c r="L320" t="str">
        <f t="shared" si="4"/>
        <v>2021NovemberRural</v>
      </c>
      <c r="M320">
        <v>87.520719999999997</v>
      </c>
      <c r="N320">
        <v>87.5</v>
      </c>
    </row>
    <row r="321" spans="1:14" x14ac:dyDescent="0.25">
      <c r="A321" s="1">
        <v>2021</v>
      </c>
      <c r="B321" s="1" t="s">
        <v>23</v>
      </c>
      <c r="C321" s="1" t="s">
        <v>11</v>
      </c>
      <c r="D321" s="1" t="s">
        <v>7</v>
      </c>
      <c r="E321" s="1">
        <v>88.099199999999996</v>
      </c>
      <c r="H321">
        <v>2021</v>
      </c>
      <c r="I321" t="s">
        <v>23</v>
      </c>
      <c r="J321" t="s">
        <v>11</v>
      </c>
      <c r="K321" t="s">
        <v>7</v>
      </c>
      <c r="L321" t="str">
        <f t="shared" si="4"/>
        <v>2021NovemberUrban</v>
      </c>
      <c r="M321">
        <v>88.099199999999996</v>
      </c>
      <c r="N321">
        <v>88.1</v>
      </c>
    </row>
    <row r="322" spans="1:14" x14ac:dyDescent="0.25">
      <c r="A322" s="1">
        <v>2021</v>
      </c>
      <c r="B322" s="1" t="s">
        <v>23</v>
      </c>
      <c r="C322" s="1" t="s">
        <v>11</v>
      </c>
      <c r="D322" s="1" t="s">
        <v>8</v>
      </c>
      <c r="E322" s="1">
        <v>87.800889999999981</v>
      </c>
      <c r="H322">
        <v>2021</v>
      </c>
      <c r="I322" t="s">
        <v>23</v>
      </c>
      <c r="J322" t="s">
        <v>11</v>
      </c>
      <c r="K322" t="s">
        <v>8</v>
      </c>
      <c r="L322" t="str">
        <f t="shared" si="4"/>
        <v>2021NovemberCombined</v>
      </c>
      <c r="M322">
        <v>87.800889999999981</v>
      </c>
      <c r="N322">
        <v>87.8</v>
      </c>
    </row>
    <row r="323" spans="1:14" x14ac:dyDescent="0.25">
      <c r="A323" s="1">
        <v>2021</v>
      </c>
      <c r="B323" s="1" t="s">
        <v>24</v>
      </c>
      <c r="C323" s="1" t="s">
        <v>11</v>
      </c>
      <c r="D323" s="1" t="s">
        <v>6</v>
      </c>
      <c r="E323" s="1">
        <v>87.207399999999993</v>
      </c>
      <c r="H323">
        <v>2021</v>
      </c>
      <c r="I323" t="s">
        <v>24</v>
      </c>
      <c r="J323" t="s">
        <v>11</v>
      </c>
      <c r="K323" t="s">
        <v>6</v>
      </c>
      <c r="L323" t="str">
        <f t="shared" ref="L323:L386" si="5">CONCATENATE(H323,I323,K323)</f>
        <v>2021DecemberRural</v>
      </c>
      <c r="M323">
        <v>87.207399999999993</v>
      </c>
      <c r="N323">
        <v>87.2</v>
      </c>
    </row>
    <row r="324" spans="1:14" x14ac:dyDescent="0.25">
      <c r="A324" s="1">
        <v>2021</v>
      </c>
      <c r="B324" s="1" t="s">
        <v>24</v>
      </c>
      <c r="C324" s="1" t="s">
        <v>11</v>
      </c>
      <c r="D324" s="1" t="s">
        <v>7</v>
      </c>
      <c r="E324" s="1">
        <v>87.886399999999995</v>
      </c>
      <c r="H324">
        <v>2021</v>
      </c>
      <c r="I324" t="s">
        <v>24</v>
      </c>
      <c r="J324" t="s">
        <v>11</v>
      </c>
      <c r="K324" t="s">
        <v>7</v>
      </c>
      <c r="L324" t="str">
        <f t="shared" si="5"/>
        <v>2021DecemberUrban</v>
      </c>
      <c r="M324">
        <v>87.886399999999995</v>
      </c>
      <c r="N324">
        <v>87.9</v>
      </c>
    </row>
    <row r="325" spans="1:14" x14ac:dyDescent="0.25">
      <c r="A325" s="1">
        <v>2021</v>
      </c>
      <c r="B325" s="1" t="s">
        <v>24</v>
      </c>
      <c r="C325" s="1" t="s">
        <v>11</v>
      </c>
      <c r="D325" s="1" t="s">
        <v>8</v>
      </c>
      <c r="E325" s="1">
        <v>87.537539999999979</v>
      </c>
      <c r="H325">
        <v>2021</v>
      </c>
      <c r="I325" t="s">
        <v>24</v>
      </c>
      <c r="J325" t="s">
        <v>11</v>
      </c>
      <c r="K325" t="s">
        <v>8</v>
      </c>
      <c r="L325" t="str">
        <f t="shared" si="5"/>
        <v>2021DecemberCombined</v>
      </c>
      <c r="M325">
        <v>87.537539999999979</v>
      </c>
      <c r="N325">
        <v>87.5</v>
      </c>
    </row>
    <row r="326" spans="1:14" x14ac:dyDescent="0.25">
      <c r="A326" s="1">
        <v>2022</v>
      </c>
      <c r="B326" s="1" t="s">
        <v>10</v>
      </c>
      <c r="C326" s="1" t="s">
        <v>11</v>
      </c>
      <c r="D326" s="1" t="s">
        <v>6</v>
      </c>
      <c r="E326" s="1">
        <v>86.894080000000002</v>
      </c>
      <c r="H326">
        <v>2022</v>
      </c>
      <c r="I326" t="s">
        <v>10</v>
      </c>
      <c r="J326" t="s">
        <v>11</v>
      </c>
      <c r="K326" t="s">
        <v>6</v>
      </c>
      <c r="L326" t="str">
        <f t="shared" si="5"/>
        <v>2022JanuaryRural</v>
      </c>
      <c r="M326">
        <v>86.894080000000002</v>
      </c>
      <c r="N326">
        <v>86.9</v>
      </c>
    </row>
    <row r="327" spans="1:14" x14ac:dyDescent="0.25">
      <c r="A327" s="1">
        <v>2022</v>
      </c>
      <c r="B327" s="1" t="s">
        <v>10</v>
      </c>
      <c r="C327" s="1" t="s">
        <v>11</v>
      </c>
      <c r="D327" s="1" t="s">
        <v>7</v>
      </c>
      <c r="E327" s="1">
        <v>87.78</v>
      </c>
      <c r="H327">
        <v>2022</v>
      </c>
      <c r="I327" t="s">
        <v>10</v>
      </c>
      <c r="J327" t="s">
        <v>11</v>
      </c>
      <c r="K327" t="s">
        <v>7</v>
      </c>
      <c r="L327" t="str">
        <f t="shared" si="5"/>
        <v>2022JanuaryUrban</v>
      </c>
      <c r="M327">
        <v>87.78</v>
      </c>
      <c r="N327">
        <v>87.8</v>
      </c>
    </row>
    <row r="328" spans="1:14" x14ac:dyDescent="0.25">
      <c r="A328" s="1">
        <v>2022</v>
      </c>
      <c r="B328" s="1" t="s">
        <v>10</v>
      </c>
      <c r="C328" s="1" t="s">
        <v>11</v>
      </c>
      <c r="D328" s="1" t="s">
        <v>8</v>
      </c>
      <c r="E328" s="1">
        <v>87.27418999999999</v>
      </c>
      <c r="H328">
        <v>2022</v>
      </c>
      <c r="I328" t="s">
        <v>10</v>
      </c>
      <c r="J328" t="s">
        <v>11</v>
      </c>
      <c r="K328" t="s">
        <v>8</v>
      </c>
      <c r="L328" t="str">
        <f t="shared" si="5"/>
        <v>2022JanuaryCombined</v>
      </c>
      <c r="M328">
        <v>87.27418999999999</v>
      </c>
      <c r="N328">
        <v>87.3</v>
      </c>
    </row>
    <row r="329" spans="1:14" x14ac:dyDescent="0.25">
      <c r="A329" s="1">
        <v>2022</v>
      </c>
      <c r="B329" s="1" t="s">
        <v>14</v>
      </c>
      <c r="C329" s="1" t="s">
        <v>11</v>
      </c>
      <c r="D329" s="1" t="s">
        <v>6</v>
      </c>
      <c r="E329" s="1">
        <v>87.05073999999999</v>
      </c>
      <c r="H329">
        <v>2022</v>
      </c>
      <c r="I329" t="s">
        <v>14</v>
      </c>
      <c r="J329" t="s">
        <v>11</v>
      </c>
      <c r="K329" t="s">
        <v>6</v>
      </c>
      <c r="L329" t="str">
        <f t="shared" si="5"/>
        <v>2022FebruaryRural</v>
      </c>
      <c r="M329">
        <v>87.05073999999999</v>
      </c>
      <c r="N329">
        <v>87.1</v>
      </c>
    </row>
    <row r="330" spans="1:14" x14ac:dyDescent="0.25">
      <c r="A330" s="1">
        <v>2022</v>
      </c>
      <c r="B330" s="1" t="s">
        <v>14</v>
      </c>
      <c r="C330" s="1" t="s">
        <v>11</v>
      </c>
      <c r="D330" s="1" t="s">
        <v>7</v>
      </c>
      <c r="E330" s="1">
        <v>88.046000000000006</v>
      </c>
      <c r="H330">
        <v>2022</v>
      </c>
      <c r="I330" t="s">
        <v>14</v>
      </c>
      <c r="J330" t="s">
        <v>11</v>
      </c>
      <c r="K330" t="s">
        <v>7</v>
      </c>
      <c r="L330" t="str">
        <f t="shared" si="5"/>
        <v>2022FebruaryUrban</v>
      </c>
      <c r="M330">
        <v>88.046000000000006</v>
      </c>
      <c r="N330">
        <v>88</v>
      </c>
    </row>
    <row r="331" spans="1:14" x14ac:dyDescent="0.25">
      <c r="A331" s="1">
        <v>2022</v>
      </c>
      <c r="B331" s="1" t="s">
        <v>14</v>
      </c>
      <c r="C331" s="1" t="s">
        <v>11</v>
      </c>
      <c r="D331" s="1" t="s">
        <v>8</v>
      </c>
      <c r="E331" s="1">
        <v>87.484869999999987</v>
      </c>
      <c r="H331">
        <v>2022</v>
      </c>
      <c r="I331" t="s">
        <v>14</v>
      </c>
      <c r="J331" t="s">
        <v>11</v>
      </c>
      <c r="K331" t="s">
        <v>8</v>
      </c>
      <c r="L331" t="str">
        <f t="shared" si="5"/>
        <v>2022FebruaryCombined</v>
      </c>
      <c r="M331">
        <v>87.484869999999987</v>
      </c>
      <c r="N331">
        <v>87.5</v>
      </c>
    </row>
    <row r="332" spans="1:14" x14ac:dyDescent="0.25">
      <c r="A332" s="1">
        <v>2022</v>
      </c>
      <c r="B332" s="1" t="s">
        <v>15</v>
      </c>
      <c r="C332" s="1" t="s">
        <v>11</v>
      </c>
      <c r="D332" s="1" t="s">
        <v>6</v>
      </c>
      <c r="E332" s="1">
        <v>88.095140000000001</v>
      </c>
      <c r="H332">
        <v>2022</v>
      </c>
      <c r="I332" t="s">
        <v>15</v>
      </c>
      <c r="J332" t="s">
        <v>11</v>
      </c>
      <c r="K332" t="s">
        <v>6</v>
      </c>
      <c r="L332" t="str">
        <f t="shared" si="5"/>
        <v>2022MarchRural</v>
      </c>
      <c r="M332">
        <v>88.095140000000001</v>
      </c>
      <c r="N332">
        <v>88.1</v>
      </c>
    </row>
    <row r="333" spans="1:14" x14ac:dyDescent="0.25">
      <c r="A333" s="1">
        <v>2022</v>
      </c>
      <c r="B333" s="1" t="s">
        <v>15</v>
      </c>
      <c r="C333" s="1" t="s">
        <v>11</v>
      </c>
      <c r="D333" s="1" t="s">
        <v>7</v>
      </c>
      <c r="E333" s="1">
        <v>88.578000000000003</v>
      </c>
      <c r="H333">
        <v>2022</v>
      </c>
      <c r="I333" t="s">
        <v>15</v>
      </c>
      <c r="J333" t="s">
        <v>11</v>
      </c>
      <c r="K333" t="s">
        <v>7</v>
      </c>
      <c r="L333" t="str">
        <f t="shared" si="5"/>
        <v>2022MarchUrban</v>
      </c>
      <c r="M333">
        <v>88.578000000000003</v>
      </c>
      <c r="N333">
        <v>88.6</v>
      </c>
    </row>
    <row r="334" spans="1:14" x14ac:dyDescent="0.25">
      <c r="A334" s="1">
        <v>2022</v>
      </c>
      <c r="B334" s="1" t="s">
        <v>15</v>
      </c>
      <c r="C334" s="1" t="s">
        <v>11</v>
      </c>
      <c r="D334" s="1" t="s">
        <v>8</v>
      </c>
      <c r="E334" s="1">
        <v>88.327589999999987</v>
      </c>
      <c r="H334">
        <v>2022</v>
      </c>
      <c r="I334" t="s">
        <v>15</v>
      </c>
      <c r="J334" t="s">
        <v>11</v>
      </c>
      <c r="K334" t="s">
        <v>8</v>
      </c>
      <c r="L334" t="str">
        <f t="shared" si="5"/>
        <v>2022MarchCombined</v>
      </c>
      <c r="M334">
        <v>88.327589999999987</v>
      </c>
      <c r="N334">
        <v>88.3</v>
      </c>
    </row>
    <row r="335" spans="1:14" x14ac:dyDescent="0.25">
      <c r="A335" s="1">
        <v>2022</v>
      </c>
      <c r="B335" s="1" t="s">
        <v>16</v>
      </c>
      <c r="C335" s="1" t="s">
        <v>11</v>
      </c>
      <c r="D335" s="1" t="s">
        <v>6</v>
      </c>
      <c r="E335" s="1">
        <v>89.191760000000002</v>
      </c>
      <c r="H335">
        <v>2022</v>
      </c>
      <c r="I335" t="s">
        <v>16</v>
      </c>
      <c r="J335" t="s">
        <v>11</v>
      </c>
      <c r="K335" t="s">
        <v>6</v>
      </c>
      <c r="L335" t="str">
        <f t="shared" si="5"/>
        <v>2022AprilRural</v>
      </c>
      <c r="M335">
        <v>89.191760000000002</v>
      </c>
      <c r="N335">
        <v>89.2</v>
      </c>
    </row>
    <row r="336" spans="1:14" x14ac:dyDescent="0.25">
      <c r="A336" s="1">
        <v>2022</v>
      </c>
      <c r="B336" s="1" t="s">
        <v>16</v>
      </c>
      <c r="C336" s="1" t="s">
        <v>11</v>
      </c>
      <c r="D336" s="1" t="s">
        <v>7</v>
      </c>
      <c r="E336" s="1">
        <v>90.014399999999995</v>
      </c>
      <c r="H336">
        <v>2022</v>
      </c>
      <c r="I336" t="s">
        <v>16</v>
      </c>
      <c r="J336" t="s">
        <v>11</v>
      </c>
      <c r="K336" t="s">
        <v>7</v>
      </c>
      <c r="L336" t="str">
        <f t="shared" si="5"/>
        <v>2022AprilUrban</v>
      </c>
      <c r="M336">
        <v>90.014399999999995</v>
      </c>
      <c r="N336">
        <v>90</v>
      </c>
    </row>
    <row r="337" spans="1:14" x14ac:dyDescent="0.25">
      <c r="A337" s="1">
        <v>2022</v>
      </c>
      <c r="B337" s="1" t="s">
        <v>16</v>
      </c>
      <c r="C337" s="1" t="s">
        <v>11</v>
      </c>
      <c r="D337" s="1" t="s">
        <v>8</v>
      </c>
      <c r="E337" s="1">
        <v>89.591669999999993</v>
      </c>
      <c r="H337">
        <v>2022</v>
      </c>
      <c r="I337" t="s">
        <v>16</v>
      </c>
      <c r="J337" t="s">
        <v>11</v>
      </c>
      <c r="K337" t="s">
        <v>8</v>
      </c>
      <c r="L337" t="str">
        <f t="shared" si="5"/>
        <v>2022AprilCombined</v>
      </c>
      <c r="M337">
        <v>89.591669999999993</v>
      </c>
      <c r="N337">
        <v>89.6</v>
      </c>
    </row>
    <row r="338" spans="1:14" x14ac:dyDescent="0.25">
      <c r="A338" s="1">
        <v>2022</v>
      </c>
      <c r="B338" s="1" t="s">
        <v>17</v>
      </c>
      <c r="C338" s="1" t="s">
        <v>11</v>
      </c>
      <c r="D338" s="1" t="s">
        <v>6</v>
      </c>
      <c r="E338" s="1">
        <v>90.079499999999996</v>
      </c>
      <c r="H338">
        <v>2022</v>
      </c>
      <c r="I338" t="s">
        <v>17</v>
      </c>
      <c r="J338" t="s">
        <v>11</v>
      </c>
      <c r="K338" t="s">
        <v>6</v>
      </c>
      <c r="L338" t="str">
        <f t="shared" si="5"/>
        <v>2022MayRural</v>
      </c>
      <c r="M338">
        <v>90.079499999999996</v>
      </c>
      <c r="N338">
        <v>90.1</v>
      </c>
    </row>
    <row r="339" spans="1:14" x14ac:dyDescent="0.25">
      <c r="A339" s="1">
        <v>2022</v>
      </c>
      <c r="B339" s="1" t="s">
        <v>17</v>
      </c>
      <c r="C339" s="1" t="s">
        <v>11</v>
      </c>
      <c r="D339" s="1" t="s">
        <v>7</v>
      </c>
      <c r="E339" s="1">
        <v>90.865600000000015</v>
      </c>
      <c r="H339">
        <v>2022</v>
      </c>
      <c r="I339" t="s">
        <v>17</v>
      </c>
      <c r="J339" t="s">
        <v>11</v>
      </c>
      <c r="K339" t="s">
        <v>7</v>
      </c>
      <c r="L339" t="str">
        <f t="shared" si="5"/>
        <v>2022MayUrban</v>
      </c>
      <c r="M339">
        <v>90.865600000000015</v>
      </c>
      <c r="N339">
        <v>90.9</v>
      </c>
    </row>
    <row r="340" spans="1:14" x14ac:dyDescent="0.25">
      <c r="A340" s="1">
        <v>2022</v>
      </c>
      <c r="B340" s="1" t="s">
        <v>17</v>
      </c>
      <c r="C340" s="1" t="s">
        <v>11</v>
      </c>
      <c r="D340" s="1" t="s">
        <v>8</v>
      </c>
      <c r="E340" s="1">
        <v>90.434389999999979</v>
      </c>
      <c r="H340">
        <v>2022</v>
      </c>
      <c r="I340" t="s">
        <v>17</v>
      </c>
      <c r="J340" t="s">
        <v>11</v>
      </c>
      <c r="K340" t="s">
        <v>8</v>
      </c>
      <c r="L340" t="str">
        <f t="shared" si="5"/>
        <v>2022MayCombined</v>
      </c>
      <c r="M340">
        <v>90.434389999999979</v>
      </c>
      <c r="N340">
        <v>90.4</v>
      </c>
    </row>
    <row r="341" spans="1:14" x14ac:dyDescent="0.25">
      <c r="A341" s="1">
        <v>2022</v>
      </c>
      <c r="B341" s="1" t="s">
        <v>18</v>
      </c>
      <c r="C341" s="1" t="s">
        <v>11</v>
      </c>
      <c r="D341" s="1" t="s">
        <v>6</v>
      </c>
      <c r="E341" s="1">
        <v>90.653919999999999</v>
      </c>
      <c r="H341">
        <v>2022</v>
      </c>
      <c r="I341" t="s">
        <v>18</v>
      </c>
      <c r="J341" t="s">
        <v>11</v>
      </c>
      <c r="K341" t="s">
        <v>6</v>
      </c>
      <c r="L341" t="str">
        <f t="shared" si="5"/>
        <v>2022JuneRural</v>
      </c>
      <c r="M341">
        <v>90.653919999999999</v>
      </c>
      <c r="N341">
        <v>90.7</v>
      </c>
    </row>
    <row r="342" spans="1:14" x14ac:dyDescent="0.25">
      <c r="A342" s="1">
        <v>2022</v>
      </c>
      <c r="B342" s="1" t="s">
        <v>18</v>
      </c>
      <c r="C342" s="1" t="s">
        <v>11</v>
      </c>
      <c r="D342" s="1" t="s">
        <v>7</v>
      </c>
      <c r="E342" s="1">
        <v>91.18480000000001</v>
      </c>
      <c r="H342">
        <v>2022</v>
      </c>
      <c r="I342" t="s">
        <v>18</v>
      </c>
      <c r="J342" t="s">
        <v>11</v>
      </c>
      <c r="K342" t="s">
        <v>7</v>
      </c>
      <c r="L342" t="str">
        <f t="shared" si="5"/>
        <v>2022JuneUrban</v>
      </c>
      <c r="M342">
        <v>91.18480000000001</v>
      </c>
      <c r="N342">
        <v>91.2</v>
      </c>
    </row>
    <row r="343" spans="1:14" x14ac:dyDescent="0.25">
      <c r="A343" s="1">
        <v>2022</v>
      </c>
      <c r="B343" s="1" t="s">
        <v>18</v>
      </c>
      <c r="C343" s="1" t="s">
        <v>11</v>
      </c>
      <c r="D343" s="1" t="s">
        <v>8</v>
      </c>
      <c r="E343" s="1">
        <v>90.908419999999992</v>
      </c>
      <c r="H343">
        <v>2022</v>
      </c>
      <c r="I343" t="s">
        <v>18</v>
      </c>
      <c r="J343" t="s">
        <v>11</v>
      </c>
      <c r="K343" t="s">
        <v>8</v>
      </c>
      <c r="L343" t="str">
        <f t="shared" si="5"/>
        <v>2022JuneCombined</v>
      </c>
      <c r="M343">
        <v>90.908419999999992</v>
      </c>
      <c r="N343">
        <v>90.9</v>
      </c>
    </row>
    <row r="344" spans="1:14" x14ac:dyDescent="0.25">
      <c r="A344" s="1">
        <v>2022</v>
      </c>
      <c r="B344" s="1" t="s">
        <v>19</v>
      </c>
      <c r="C344" s="1" t="s">
        <v>11</v>
      </c>
      <c r="D344" s="1" t="s">
        <v>6</v>
      </c>
      <c r="E344" s="1">
        <v>91.019460000000009</v>
      </c>
      <c r="H344">
        <v>2022</v>
      </c>
      <c r="I344" t="s">
        <v>19</v>
      </c>
      <c r="J344" t="s">
        <v>11</v>
      </c>
      <c r="K344" t="s">
        <v>6</v>
      </c>
      <c r="L344" t="str">
        <f t="shared" si="5"/>
        <v>2022JulyRural</v>
      </c>
      <c r="M344">
        <v>91.019460000000009</v>
      </c>
      <c r="N344">
        <v>91</v>
      </c>
    </row>
    <row r="345" spans="1:14" x14ac:dyDescent="0.25">
      <c r="A345" s="1">
        <v>2022</v>
      </c>
      <c r="B345" s="1" t="s">
        <v>19</v>
      </c>
      <c r="C345" s="1" t="s">
        <v>11</v>
      </c>
      <c r="D345" s="1" t="s">
        <v>7</v>
      </c>
      <c r="E345" s="1">
        <v>91.663600000000017</v>
      </c>
      <c r="H345">
        <v>2022</v>
      </c>
      <c r="I345" t="s">
        <v>19</v>
      </c>
      <c r="J345" t="s">
        <v>11</v>
      </c>
      <c r="K345" t="s">
        <v>7</v>
      </c>
      <c r="L345" t="str">
        <f t="shared" si="5"/>
        <v>2022JulyUrban</v>
      </c>
      <c r="M345">
        <v>91.663600000000017</v>
      </c>
      <c r="N345">
        <v>91.7</v>
      </c>
    </row>
    <row r="346" spans="1:14" x14ac:dyDescent="0.25">
      <c r="A346" s="1">
        <v>2022</v>
      </c>
      <c r="B346" s="1" t="s">
        <v>19</v>
      </c>
      <c r="C346" s="1" t="s">
        <v>11</v>
      </c>
      <c r="D346" s="1" t="s">
        <v>8</v>
      </c>
      <c r="E346" s="1">
        <v>91.32978</v>
      </c>
      <c r="H346">
        <v>2022</v>
      </c>
      <c r="I346" t="s">
        <v>19</v>
      </c>
      <c r="J346" t="s">
        <v>11</v>
      </c>
      <c r="K346" t="s">
        <v>8</v>
      </c>
      <c r="L346" t="str">
        <f t="shared" si="5"/>
        <v>2022JulyCombined</v>
      </c>
      <c r="M346">
        <v>91.32978</v>
      </c>
      <c r="N346">
        <v>91.3</v>
      </c>
    </row>
    <row r="347" spans="1:14" x14ac:dyDescent="0.25">
      <c r="A347" s="1">
        <v>2022</v>
      </c>
      <c r="B347" s="1" t="s">
        <v>20</v>
      </c>
      <c r="C347" s="1" t="s">
        <v>11</v>
      </c>
      <c r="D347" s="1" t="s">
        <v>6</v>
      </c>
      <c r="E347" s="1">
        <v>91.541660000000007</v>
      </c>
      <c r="H347">
        <v>2022</v>
      </c>
      <c r="I347" t="s">
        <v>20</v>
      </c>
      <c r="J347" t="s">
        <v>11</v>
      </c>
      <c r="K347" t="s">
        <v>6</v>
      </c>
      <c r="L347" t="str">
        <f t="shared" si="5"/>
        <v>2022AugustRural</v>
      </c>
      <c r="M347">
        <v>91.541660000000007</v>
      </c>
      <c r="N347">
        <v>91.5</v>
      </c>
    </row>
    <row r="348" spans="1:14" x14ac:dyDescent="0.25">
      <c r="A348" s="1">
        <v>2022</v>
      </c>
      <c r="B348" s="1" t="s">
        <v>20</v>
      </c>
      <c r="C348" s="1" t="s">
        <v>11</v>
      </c>
      <c r="D348" s="1" t="s">
        <v>7</v>
      </c>
      <c r="E348" s="1">
        <v>92.089200000000005</v>
      </c>
      <c r="H348">
        <v>2022</v>
      </c>
      <c r="I348" t="s">
        <v>20</v>
      </c>
      <c r="J348" t="s">
        <v>11</v>
      </c>
      <c r="K348" t="s">
        <v>7</v>
      </c>
      <c r="L348" t="str">
        <f t="shared" si="5"/>
        <v>2022AugustUrban</v>
      </c>
      <c r="M348">
        <v>92.089200000000005</v>
      </c>
      <c r="N348">
        <v>92.1</v>
      </c>
    </row>
    <row r="349" spans="1:14" x14ac:dyDescent="0.25">
      <c r="A349" s="1">
        <v>2022</v>
      </c>
      <c r="B349" s="1" t="s">
        <v>20</v>
      </c>
      <c r="C349" s="1" t="s">
        <v>11</v>
      </c>
      <c r="D349" s="1" t="s">
        <v>8</v>
      </c>
      <c r="E349" s="1">
        <v>91.803809999999999</v>
      </c>
      <c r="H349">
        <v>2022</v>
      </c>
      <c r="I349" t="s">
        <v>20</v>
      </c>
      <c r="J349" t="s">
        <v>11</v>
      </c>
      <c r="K349" t="s">
        <v>8</v>
      </c>
      <c r="L349" t="str">
        <f t="shared" si="5"/>
        <v>2022AugustCombined</v>
      </c>
      <c r="M349">
        <v>91.803809999999999</v>
      </c>
      <c r="N349">
        <v>91.8</v>
      </c>
    </row>
    <row r="350" spans="1:14" x14ac:dyDescent="0.25">
      <c r="A350" s="1">
        <v>2022</v>
      </c>
      <c r="B350" s="1" t="s">
        <v>21</v>
      </c>
      <c r="C350" s="1" t="s">
        <v>11</v>
      </c>
      <c r="D350" s="1" t="s">
        <v>6</v>
      </c>
      <c r="E350" s="1">
        <v>92.116079999999997</v>
      </c>
      <c r="H350">
        <v>2022</v>
      </c>
      <c r="I350" t="s">
        <v>21</v>
      </c>
      <c r="J350" t="s">
        <v>11</v>
      </c>
      <c r="K350" t="s">
        <v>6</v>
      </c>
      <c r="L350" t="str">
        <f t="shared" si="5"/>
        <v>2022SeptemberRural</v>
      </c>
      <c r="M350">
        <v>92.116079999999997</v>
      </c>
      <c r="N350">
        <v>92.1</v>
      </c>
    </row>
    <row r="351" spans="1:14" x14ac:dyDescent="0.25">
      <c r="A351" s="1">
        <v>2022</v>
      </c>
      <c r="B351" s="1" t="s">
        <v>21</v>
      </c>
      <c r="C351" s="1" t="s">
        <v>11</v>
      </c>
      <c r="D351" s="1" t="s">
        <v>7</v>
      </c>
      <c r="E351" s="1">
        <v>92.621200000000002</v>
      </c>
      <c r="H351">
        <v>2022</v>
      </c>
      <c r="I351" t="s">
        <v>21</v>
      </c>
      <c r="J351" t="s">
        <v>11</v>
      </c>
      <c r="K351" t="s">
        <v>7</v>
      </c>
      <c r="L351" t="str">
        <f t="shared" si="5"/>
        <v>2022SeptemberUrban</v>
      </c>
      <c r="M351">
        <v>92.621200000000002</v>
      </c>
      <c r="N351">
        <v>92.6</v>
      </c>
    </row>
    <row r="352" spans="1:14" x14ac:dyDescent="0.25">
      <c r="A352" s="1">
        <v>2022</v>
      </c>
      <c r="B352" s="1" t="s">
        <v>21</v>
      </c>
      <c r="C352" s="1" t="s">
        <v>11</v>
      </c>
      <c r="D352" s="1" t="s">
        <v>8</v>
      </c>
      <c r="E352" s="1">
        <v>92.33050999999999</v>
      </c>
      <c r="H352">
        <v>2022</v>
      </c>
      <c r="I352" t="s">
        <v>21</v>
      </c>
      <c r="J352" t="s">
        <v>11</v>
      </c>
      <c r="K352" t="s">
        <v>8</v>
      </c>
      <c r="L352" t="str">
        <f t="shared" si="5"/>
        <v>2022SeptemberCombined</v>
      </c>
      <c r="M352">
        <v>92.33050999999999</v>
      </c>
      <c r="N352">
        <v>92.3</v>
      </c>
    </row>
    <row r="353" spans="1:14" x14ac:dyDescent="0.25">
      <c r="A353" s="1">
        <v>2022</v>
      </c>
      <c r="B353" s="1" t="s">
        <v>22</v>
      </c>
      <c r="C353" s="1" t="s">
        <v>11</v>
      </c>
      <c r="D353" s="1" t="s">
        <v>6</v>
      </c>
      <c r="E353" s="1">
        <v>92.899380000000008</v>
      </c>
      <c r="H353">
        <v>2022</v>
      </c>
      <c r="I353" t="s">
        <v>22</v>
      </c>
      <c r="J353" t="s">
        <v>11</v>
      </c>
      <c r="K353" t="s">
        <v>6</v>
      </c>
      <c r="L353" t="str">
        <f t="shared" si="5"/>
        <v>2022OctoberRural</v>
      </c>
      <c r="M353">
        <v>92.899380000000008</v>
      </c>
      <c r="N353">
        <v>92.9</v>
      </c>
    </row>
    <row r="354" spans="1:14" x14ac:dyDescent="0.25">
      <c r="A354" s="1">
        <v>2022</v>
      </c>
      <c r="B354" s="1" t="s">
        <v>22</v>
      </c>
      <c r="C354" s="1" t="s">
        <v>11</v>
      </c>
      <c r="D354" s="1" t="s">
        <v>7</v>
      </c>
      <c r="E354" s="1">
        <v>93.259600000000006</v>
      </c>
      <c r="H354">
        <v>2022</v>
      </c>
      <c r="I354" t="s">
        <v>22</v>
      </c>
      <c r="J354" t="s">
        <v>11</v>
      </c>
      <c r="K354" t="s">
        <v>7</v>
      </c>
      <c r="L354" t="str">
        <f t="shared" si="5"/>
        <v>2022OctoberUrban</v>
      </c>
      <c r="M354">
        <v>93.259600000000006</v>
      </c>
      <c r="N354">
        <v>93.3</v>
      </c>
    </row>
    <row r="355" spans="1:14" x14ac:dyDescent="0.25">
      <c r="A355" s="1">
        <v>2022</v>
      </c>
      <c r="B355" s="1" t="s">
        <v>22</v>
      </c>
      <c r="C355" s="1" t="s">
        <v>11</v>
      </c>
      <c r="D355" s="1" t="s">
        <v>8</v>
      </c>
      <c r="E355" s="1">
        <v>93.067889999999991</v>
      </c>
      <c r="H355">
        <v>2022</v>
      </c>
      <c r="I355" t="s">
        <v>22</v>
      </c>
      <c r="J355" t="s">
        <v>11</v>
      </c>
      <c r="K355" t="s">
        <v>8</v>
      </c>
      <c r="L355" t="str">
        <f t="shared" si="5"/>
        <v>2022OctoberCombined</v>
      </c>
      <c r="M355">
        <v>93.067889999999991</v>
      </c>
      <c r="N355">
        <v>93.1</v>
      </c>
    </row>
    <row r="356" spans="1:14" x14ac:dyDescent="0.25">
      <c r="A356" s="1">
        <v>2022</v>
      </c>
      <c r="B356" s="1" t="s">
        <v>23</v>
      </c>
      <c r="C356" s="1" t="s">
        <v>11</v>
      </c>
      <c r="D356" s="1" t="s">
        <v>6</v>
      </c>
      <c r="E356" s="1">
        <v>92.847160000000002</v>
      </c>
      <c r="H356">
        <v>2022</v>
      </c>
      <c r="I356" t="s">
        <v>23</v>
      </c>
      <c r="J356" t="s">
        <v>11</v>
      </c>
      <c r="K356" t="s">
        <v>6</v>
      </c>
      <c r="L356" t="str">
        <f t="shared" si="5"/>
        <v>2022NovemberRural</v>
      </c>
      <c r="M356">
        <v>92.847160000000002</v>
      </c>
      <c r="N356">
        <v>92.8</v>
      </c>
    </row>
    <row r="357" spans="1:14" x14ac:dyDescent="0.25">
      <c r="A357" s="1">
        <v>2022</v>
      </c>
      <c r="B357" s="1" t="s">
        <v>23</v>
      </c>
      <c r="C357" s="1" t="s">
        <v>11</v>
      </c>
      <c r="D357" s="1" t="s">
        <v>7</v>
      </c>
      <c r="E357" s="1">
        <v>93.100000000000009</v>
      </c>
      <c r="H357">
        <v>2022</v>
      </c>
      <c r="I357" t="s">
        <v>23</v>
      </c>
      <c r="J357" t="s">
        <v>11</v>
      </c>
      <c r="K357" t="s">
        <v>7</v>
      </c>
      <c r="L357" t="str">
        <f t="shared" si="5"/>
        <v>2022NovemberUrban</v>
      </c>
      <c r="M357">
        <v>93.100000000000009</v>
      </c>
      <c r="N357">
        <v>93.1</v>
      </c>
    </row>
    <row r="358" spans="1:14" x14ac:dyDescent="0.25">
      <c r="A358" s="1">
        <v>2022</v>
      </c>
      <c r="B358" s="1" t="s">
        <v>23</v>
      </c>
      <c r="C358" s="1" t="s">
        <v>11</v>
      </c>
      <c r="D358" s="1" t="s">
        <v>8</v>
      </c>
      <c r="E358" s="1">
        <v>92.962549999999993</v>
      </c>
      <c r="H358">
        <v>2022</v>
      </c>
      <c r="I358" t="s">
        <v>23</v>
      </c>
      <c r="J358" t="s">
        <v>11</v>
      </c>
      <c r="K358" t="s">
        <v>8</v>
      </c>
      <c r="L358" t="str">
        <f t="shared" si="5"/>
        <v>2022NovemberCombined</v>
      </c>
      <c r="M358">
        <v>92.962549999999993</v>
      </c>
      <c r="N358">
        <v>93</v>
      </c>
    </row>
    <row r="359" spans="1:14" x14ac:dyDescent="0.25">
      <c r="A359" s="1">
        <v>2022</v>
      </c>
      <c r="B359" s="1" t="s">
        <v>24</v>
      </c>
      <c r="C359" s="1" t="s">
        <v>11</v>
      </c>
      <c r="D359" s="1" t="s">
        <v>6</v>
      </c>
      <c r="E359" s="1">
        <v>92.481619999999992</v>
      </c>
      <c r="H359">
        <v>2022</v>
      </c>
      <c r="I359" t="s">
        <v>24</v>
      </c>
      <c r="J359" t="s">
        <v>11</v>
      </c>
      <c r="K359" t="s">
        <v>6</v>
      </c>
      <c r="L359" t="str">
        <f t="shared" si="5"/>
        <v>2022DecemberRural</v>
      </c>
      <c r="M359">
        <v>92.481619999999992</v>
      </c>
      <c r="N359">
        <v>92.5</v>
      </c>
    </row>
    <row r="360" spans="1:14" x14ac:dyDescent="0.25">
      <c r="A360" s="1">
        <v>2022</v>
      </c>
      <c r="B360" s="1" t="s">
        <v>24</v>
      </c>
      <c r="C360" s="1" t="s">
        <v>11</v>
      </c>
      <c r="D360" s="1" t="s">
        <v>7</v>
      </c>
      <c r="E360" s="1">
        <v>92.621200000000002</v>
      </c>
      <c r="H360">
        <v>2022</v>
      </c>
      <c r="I360" t="s">
        <v>24</v>
      </c>
      <c r="J360" t="s">
        <v>11</v>
      </c>
      <c r="K360" t="s">
        <v>7</v>
      </c>
      <c r="L360" t="str">
        <f t="shared" si="5"/>
        <v>2022DecemberUrban</v>
      </c>
      <c r="M360">
        <v>92.621200000000002</v>
      </c>
      <c r="N360">
        <v>92.6</v>
      </c>
    </row>
    <row r="361" spans="1:14" x14ac:dyDescent="0.25">
      <c r="A361" s="1">
        <v>2022</v>
      </c>
      <c r="B361" s="1" t="s">
        <v>24</v>
      </c>
      <c r="C361" s="1" t="s">
        <v>11</v>
      </c>
      <c r="D361" s="1" t="s">
        <v>8</v>
      </c>
      <c r="E361" s="1">
        <v>92.541189999999986</v>
      </c>
      <c r="H361">
        <v>2022</v>
      </c>
      <c r="I361" t="s">
        <v>24</v>
      </c>
      <c r="J361" t="s">
        <v>11</v>
      </c>
      <c r="K361" t="s">
        <v>8</v>
      </c>
      <c r="L361" t="str">
        <f t="shared" si="5"/>
        <v>2022DecemberCombined</v>
      </c>
      <c r="M361">
        <v>92.541189999999986</v>
      </c>
      <c r="N361">
        <v>92.5</v>
      </c>
    </row>
    <row r="362" spans="1:14" x14ac:dyDescent="0.25">
      <c r="A362" s="1">
        <v>2023</v>
      </c>
      <c r="B362" s="1" t="s">
        <v>10</v>
      </c>
      <c r="C362" s="1" t="s">
        <v>11</v>
      </c>
      <c r="D362" s="1" t="s">
        <v>6</v>
      </c>
      <c r="E362" s="1">
        <v>92.847160000000002</v>
      </c>
      <c r="H362">
        <v>2023</v>
      </c>
      <c r="I362" t="s">
        <v>10</v>
      </c>
      <c r="J362" t="s">
        <v>11</v>
      </c>
      <c r="K362" t="s">
        <v>6</v>
      </c>
      <c r="L362" t="str">
        <f t="shared" si="5"/>
        <v>2023JanuaryRural</v>
      </c>
      <c r="M362">
        <v>92.847160000000002</v>
      </c>
      <c r="N362">
        <v>92.8</v>
      </c>
    </row>
    <row r="363" spans="1:14" x14ac:dyDescent="0.25">
      <c r="A363" s="1">
        <v>2023</v>
      </c>
      <c r="B363" s="1" t="s">
        <v>10</v>
      </c>
      <c r="C363" s="1" t="s">
        <v>11</v>
      </c>
      <c r="D363" s="1" t="s">
        <v>7</v>
      </c>
      <c r="E363" s="1">
        <v>93.046800000000005</v>
      </c>
      <c r="H363">
        <v>2023</v>
      </c>
      <c r="I363" t="s">
        <v>10</v>
      </c>
      <c r="J363" t="s">
        <v>11</v>
      </c>
      <c r="K363" t="s">
        <v>7</v>
      </c>
      <c r="L363" t="str">
        <f t="shared" si="5"/>
        <v>2023JanuaryUrban</v>
      </c>
      <c r="M363">
        <v>93.046800000000005</v>
      </c>
      <c r="N363">
        <v>93</v>
      </c>
    </row>
    <row r="364" spans="1:14" x14ac:dyDescent="0.25">
      <c r="A364" s="1">
        <v>2023</v>
      </c>
      <c r="B364" s="1" t="s">
        <v>10</v>
      </c>
      <c r="C364" s="1" t="s">
        <v>11</v>
      </c>
      <c r="D364" s="1" t="s">
        <v>8</v>
      </c>
      <c r="E364" s="1">
        <v>92.962549999999993</v>
      </c>
      <c r="H364">
        <v>2023</v>
      </c>
      <c r="I364" t="s">
        <v>10</v>
      </c>
      <c r="J364" t="s">
        <v>11</v>
      </c>
      <c r="K364" t="s">
        <v>8</v>
      </c>
      <c r="L364" t="str">
        <f t="shared" si="5"/>
        <v>2023JanuaryCombined</v>
      </c>
      <c r="M364">
        <v>92.962549999999993</v>
      </c>
      <c r="N364">
        <v>93</v>
      </c>
    </row>
    <row r="365" spans="1:14" x14ac:dyDescent="0.25">
      <c r="A365" s="1">
        <v>2023</v>
      </c>
      <c r="B365" s="1" t="s">
        <v>14</v>
      </c>
      <c r="C365" s="1" t="s">
        <v>11</v>
      </c>
      <c r="D365" s="1" t="s">
        <v>6</v>
      </c>
      <c r="E365" s="1">
        <v>92.899380000000008</v>
      </c>
      <c r="H365">
        <v>2023</v>
      </c>
      <c r="I365" t="s">
        <v>14</v>
      </c>
      <c r="J365" t="s">
        <v>11</v>
      </c>
      <c r="K365" t="s">
        <v>6</v>
      </c>
      <c r="L365" t="str">
        <f t="shared" si="5"/>
        <v>2023FebruaryRural</v>
      </c>
      <c r="M365">
        <v>92.899380000000008</v>
      </c>
      <c r="N365">
        <v>92.9</v>
      </c>
    </row>
    <row r="366" spans="1:14" x14ac:dyDescent="0.25">
      <c r="A366" s="1">
        <v>2023</v>
      </c>
      <c r="B366" s="1" t="s">
        <v>14</v>
      </c>
      <c r="C366" s="1" t="s">
        <v>11</v>
      </c>
      <c r="D366" s="1" t="s">
        <v>7</v>
      </c>
      <c r="E366" s="1">
        <v>93.419200000000004</v>
      </c>
      <c r="H366">
        <v>2023</v>
      </c>
      <c r="I366" t="s">
        <v>14</v>
      </c>
      <c r="J366" t="s">
        <v>11</v>
      </c>
      <c r="K366" t="s">
        <v>7</v>
      </c>
      <c r="L366" t="str">
        <f t="shared" si="5"/>
        <v>2023FebruaryUrban</v>
      </c>
      <c r="M366">
        <v>93.419200000000004</v>
      </c>
      <c r="N366">
        <v>93.4</v>
      </c>
    </row>
    <row r="367" spans="1:14" x14ac:dyDescent="0.25">
      <c r="A367" s="1">
        <v>2023</v>
      </c>
      <c r="B367" s="1" t="s">
        <v>14</v>
      </c>
      <c r="C367" s="1" t="s">
        <v>11</v>
      </c>
      <c r="D367" s="1" t="s">
        <v>8</v>
      </c>
      <c r="E367" s="1">
        <v>93.120559999999998</v>
      </c>
      <c r="H367">
        <v>2023</v>
      </c>
      <c r="I367" t="s">
        <v>14</v>
      </c>
      <c r="J367" t="s">
        <v>11</v>
      </c>
      <c r="K367" t="s">
        <v>8</v>
      </c>
      <c r="L367" t="str">
        <f t="shared" si="5"/>
        <v>2023FebruaryCombined</v>
      </c>
      <c r="M367">
        <v>93.120559999999998</v>
      </c>
      <c r="N367">
        <v>93.1</v>
      </c>
    </row>
    <row r="368" spans="1:14" x14ac:dyDescent="0.25">
      <c r="A368" s="1">
        <v>2023</v>
      </c>
      <c r="B368" s="1" t="s">
        <v>15</v>
      </c>
      <c r="C368" s="1" t="s">
        <v>11</v>
      </c>
      <c r="D368" s="1" t="s">
        <v>6</v>
      </c>
      <c r="E368" s="1">
        <v>92.951599999999999</v>
      </c>
      <c r="H368">
        <v>2023</v>
      </c>
      <c r="I368" t="s">
        <v>15</v>
      </c>
      <c r="J368" t="s">
        <v>11</v>
      </c>
      <c r="K368" t="s">
        <v>6</v>
      </c>
      <c r="L368" t="str">
        <f t="shared" si="5"/>
        <v>2023MarchRural</v>
      </c>
      <c r="M368">
        <v>92.951599999999999</v>
      </c>
      <c r="N368">
        <v>93</v>
      </c>
    </row>
    <row r="369" spans="1:14" x14ac:dyDescent="0.25">
      <c r="A369" s="1">
        <v>2023</v>
      </c>
      <c r="B369" s="1" t="s">
        <v>15</v>
      </c>
      <c r="C369" s="1" t="s">
        <v>11</v>
      </c>
      <c r="D369" s="1" t="s">
        <v>7</v>
      </c>
      <c r="E369" s="1">
        <v>93.791600000000017</v>
      </c>
      <c r="H369">
        <v>2023</v>
      </c>
      <c r="I369" t="s">
        <v>15</v>
      </c>
      <c r="J369" t="s">
        <v>11</v>
      </c>
      <c r="K369" t="s">
        <v>7</v>
      </c>
      <c r="L369" t="str">
        <f t="shared" si="5"/>
        <v>2023MarchUrban</v>
      </c>
      <c r="M369">
        <v>93.791600000000017</v>
      </c>
      <c r="N369">
        <v>93.8</v>
      </c>
    </row>
    <row r="370" spans="1:14" x14ac:dyDescent="0.25">
      <c r="A370" s="1">
        <v>2023</v>
      </c>
      <c r="B370" s="1" t="s">
        <v>15</v>
      </c>
      <c r="C370" s="1" t="s">
        <v>11</v>
      </c>
      <c r="D370" s="1" t="s">
        <v>8</v>
      </c>
      <c r="E370" s="1">
        <v>93.33123999999998</v>
      </c>
      <c r="H370">
        <v>2023</v>
      </c>
      <c r="I370" t="s">
        <v>15</v>
      </c>
      <c r="J370" t="s">
        <v>11</v>
      </c>
      <c r="K370" t="s">
        <v>8</v>
      </c>
      <c r="L370" t="str">
        <f t="shared" si="5"/>
        <v>2023MarchCombined</v>
      </c>
      <c r="M370">
        <v>93.33123999999998</v>
      </c>
      <c r="N370">
        <v>93.3</v>
      </c>
    </row>
    <row r="371" spans="1:14" x14ac:dyDescent="0.25">
      <c r="A371" s="1">
        <v>2023</v>
      </c>
      <c r="B371" s="1" t="s">
        <v>16</v>
      </c>
      <c r="C371" s="1" t="s">
        <v>11</v>
      </c>
      <c r="D371" s="1" t="s">
        <v>6</v>
      </c>
      <c r="E371" s="1">
        <v>93.36936</v>
      </c>
      <c r="H371">
        <v>2023</v>
      </c>
      <c r="I371" t="s">
        <v>16</v>
      </c>
      <c r="J371" t="s">
        <v>11</v>
      </c>
      <c r="K371" t="s">
        <v>6</v>
      </c>
      <c r="L371" t="str">
        <f t="shared" si="5"/>
        <v>2023AprilRural</v>
      </c>
      <c r="M371">
        <v>93.36936</v>
      </c>
      <c r="N371">
        <v>93.4</v>
      </c>
    </row>
    <row r="372" spans="1:14" x14ac:dyDescent="0.25">
      <c r="A372" s="1">
        <v>2023</v>
      </c>
      <c r="B372" s="1" t="s">
        <v>16</v>
      </c>
      <c r="C372" s="1" t="s">
        <v>11</v>
      </c>
      <c r="D372" s="1" t="s">
        <v>7</v>
      </c>
      <c r="E372" s="1">
        <v>94.376800000000003</v>
      </c>
      <c r="H372">
        <v>2023</v>
      </c>
      <c r="I372" t="s">
        <v>16</v>
      </c>
      <c r="J372" t="s">
        <v>11</v>
      </c>
      <c r="K372" t="s">
        <v>7</v>
      </c>
      <c r="L372" t="str">
        <f t="shared" si="5"/>
        <v>2023AprilUrban</v>
      </c>
      <c r="M372">
        <v>94.376800000000003</v>
      </c>
      <c r="N372">
        <v>94.4</v>
      </c>
    </row>
    <row r="373" spans="1:14" x14ac:dyDescent="0.25">
      <c r="A373" s="1">
        <v>2023</v>
      </c>
      <c r="B373" s="1" t="s">
        <v>16</v>
      </c>
      <c r="C373" s="1" t="s">
        <v>11</v>
      </c>
      <c r="D373" s="1" t="s">
        <v>8</v>
      </c>
      <c r="E373" s="1">
        <v>93.805269999999993</v>
      </c>
      <c r="H373">
        <v>2023</v>
      </c>
      <c r="I373" t="s">
        <v>16</v>
      </c>
      <c r="J373" t="s">
        <v>11</v>
      </c>
      <c r="K373" t="s">
        <v>8</v>
      </c>
      <c r="L373" t="str">
        <f t="shared" si="5"/>
        <v>2023AprilCombined</v>
      </c>
      <c r="M373">
        <v>93.805269999999993</v>
      </c>
      <c r="N373">
        <v>93.8</v>
      </c>
    </row>
    <row r="374" spans="1:14" x14ac:dyDescent="0.25">
      <c r="A374" s="1">
        <v>2023</v>
      </c>
      <c r="B374" s="1" t="s">
        <v>17</v>
      </c>
      <c r="C374" s="1" t="s">
        <v>11</v>
      </c>
      <c r="D374" s="1" t="s">
        <v>6</v>
      </c>
      <c r="E374" s="1">
        <v>93.891560000000013</v>
      </c>
      <c r="H374">
        <v>2023</v>
      </c>
      <c r="I374" t="s">
        <v>17</v>
      </c>
      <c r="J374" t="s">
        <v>11</v>
      </c>
      <c r="K374" t="s">
        <v>6</v>
      </c>
      <c r="L374" t="str">
        <f t="shared" si="5"/>
        <v>2023MayRural</v>
      </c>
      <c r="M374">
        <v>93.891560000000013</v>
      </c>
      <c r="N374">
        <v>93.9</v>
      </c>
    </row>
    <row r="375" spans="1:14" x14ac:dyDescent="0.25">
      <c r="A375" s="1">
        <v>2023</v>
      </c>
      <c r="B375" s="1" t="s">
        <v>17</v>
      </c>
      <c r="C375" s="1" t="s">
        <v>11</v>
      </c>
      <c r="D375" s="1" t="s">
        <v>7</v>
      </c>
      <c r="E375" s="1">
        <v>94.802400000000006</v>
      </c>
      <c r="H375">
        <v>2023</v>
      </c>
      <c r="I375" t="s">
        <v>17</v>
      </c>
      <c r="J375" t="s">
        <v>11</v>
      </c>
      <c r="K375" t="s">
        <v>7</v>
      </c>
      <c r="L375" t="str">
        <f t="shared" si="5"/>
        <v>2023MayUrban</v>
      </c>
      <c r="M375">
        <v>94.802400000000006</v>
      </c>
      <c r="N375">
        <v>94.8</v>
      </c>
    </row>
    <row r="376" spans="1:14" x14ac:dyDescent="0.25">
      <c r="A376" s="1">
        <v>2023</v>
      </c>
      <c r="B376" s="1" t="s">
        <v>17</v>
      </c>
      <c r="C376" s="1" t="s">
        <v>11</v>
      </c>
      <c r="D376" s="1" t="s">
        <v>8</v>
      </c>
      <c r="E376" s="1">
        <v>94.331969999999984</v>
      </c>
      <c r="H376">
        <v>2023</v>
      </c>
      <c r="I376" t="s">
        <v>17</v>
      </c>
      <c r="J376" t="s">
        <v>11</v>
      </c>
      <c r="K376" t="s">
        <v>8</v>
      </c>
      <c r="L376" t="str">
        <f t="shared" si="5"/>
        <v>2023MayCombined</v>
      </c>
      <c r="M376">
        <v>94.331969999999984</v>
      </c>
      <c r="N376">
        <v>94.3</v>
      </c>
    </row>
    <row r="377" spans="1:14" x14ac:dyDescent="0.25">
      <c r="A377" s="1">
        <v>2023</v>
      </c>
      <c r="B377" s="1" t="s">
        <v>18</v>
      </c>
      <c r="C377" s="1" t="s">
        <v>11</v>
      </c>
      <c r="D377" s="1" t="s">
        <v>6</v>
      </c>
      <c r="E377" s="1">
        <v>94.98818</v>
      </c>
      <c r="H377">
        <v>2023</v>
      </c>
      <c r="I377" t="s">
        <v>18</v>
      </c>
      <c r="J377" t="s">
        <v>11</v>
      </c>
      <c r="K377" t="s">
        <v>6</v>
      </c>
      <c r="L377" t="str">
        <f t="shared" si="5"/>
        <v>2023JuneRural</v>
      </c>
      <c r="M377">
        <v>94.98818</v>
      </c>
      <c r="N377">
        <v>95</v>
      </c>
    </row>
    <row r="378" spans="1:14" x14ac:dyDescent="0.25">
      <c r="A378" s="1">
        <v>2023</v>
      </c>
      <c r="B378" s="1" t="s">
        <v>18</v>
      </c>
      <c r="C378" s="1" t="s">
        <v>11</v>
      </c>
      <c r="D378" s="1" t="s">
        <v>7</v>
      </c>
      <c r="E378" s="1">
        <v>95.706800000000001</v>
      </c>
      <c r="H378">
        <v>2023</v>
      </c>
      <c r="I378" t="s">
        <v>18</v>
      </c>
      <c r="J378" t="s">
        <v>11</v>
      </c>
      <c r="K378" t="s">
        <v>7</v>
      </c>
      <c r="L378" t="str">
        <f t="shared" si="5"/>
        <v>2023JuneUrban</v>
      </c>
      <c r="M378">
        <v>95.706800000000001</v>
      </c>
      <c r="N378">
        <v>95.7</v>
      </c>
    </row>
    <row r="379" spans="1:14" x14ac:dyDescent="0.25">
      <c r="A379" s="1">
        <v>2023</v>
      </c>
      <c r="B379" s="1" t="s">
        <v>18</v>
      </c>
      <c r="C379" s="1" t="s">
        <v>11</v>
      </c>
      <c r="D379" s="1" t="s">
        <v>8</v>
      </c>
      <c r="E379" s="1">
        <v>95.332699999999988</v>
      </c>
      <c r="H379">
        <v>2023</v>
      </c>
      <c r="I379" t="s">
        <v>18</v>
      </c>
      <c r="J379" t="s">
        <v>11</v>
      </c>
      <c r="K379" t="s">
        <v>8</v>
      </c>
      <c r="L379" t="str">
        <f t="shared" si="5"/>
        <v>2023JuneCombined</v>
      </c>
      <c r="M379">
        <v>95.332699999999988</v>
      </c>
      <c r="N379">
        <v>95.3</v>
      </c>
    </row>
    <row r="380" spans="1:14" x14ac:dyDescent="0.25">
      <c r="A380" s="1">
        <v>2023</v>
      </c>
      <c r="B380" s="1" t="s">
        <v>19</v>
      </c>
      <c r="C380" s="1" t="s">
        <v>11</v>
      </c>
      <c r="D380" s="1" t="s">
        <v>6</v>
      </c>
      <c r="E380" s="1">
        <v>97.96472</v>
      </c>
      <c r="H380">
        <v>2023</v>
      </c>
      <c r="I380" t="s">
        <v>19</v>
      </c>
      <c r="J380" t="s">
        <v>11</v>
      </c>
      <c r="K380" t="s">
        <v>6</v>
      </c>
      <c r="L380" t="str">
        <f t="shared" si="5"/>
        <v>2023JulyRural</v>
      </c>
      <c r="M380">
        <v>97.96472</v>
      </c>
      <c r="N380">
        <v>98</v>
      </c>
    </row>
    <row r="381" spans="1:14" x14ac:dyDescent="0.25">
      <c r="A381" s="1">
        <v>2023</v>
      </c>
      <c r="B381" s="1" t="s">
        <v>19</v>
      </c>
      <c r="C381" s="1" t="s">
        <v>11</v>
      </c>
      <c r="D381" s="1" t="s">
        <v>7</v>
      </c>
      <c r="E381" s="1">
        <v>98.260400000000004</v>
      </c>
      <c r="H381">
        <v>2023</v>
      </c>
      <c r="I381" t="s">
        <v>19</v>
      </c>
      <c r="J381" t="s">
        <v>11</v>
      </c>
      <c r="K381" t="s">
        <v>7</v>
      </c>
      <c r="L381" t="str">
        <f t="shared" si="5"/>
        <v>2023JulyUrban</v>
      </c>
      <c r="M381">
        <v>98.260400000000004</v>
      </c>
      <c r="N381">
        <v>98.3</v>
      </c>
    </row>
    <row r="382" spans="1:14" x14ac:dyDescent="0.25">
      <c r="A382" s="1">
        <v>2023</v>
      </c>
      <c r="B382" s="1" t="s">
        <v>19</v>
      </c>
      <c r="C382" s="1" t="s">
        <v>11</v>
      </c>
      <c r="D382" s="1" t="s">
        <v>8</v>
      </c>
      <c r="E382" s="1">
        <v>98.124209999999991</v>
      </c>
      <c r="H382">
        <v>2023</v>
      </c>
      <c r="I382" t="s">
        <v>19</v>
      </c>
      <c r="J382" t="s">
        <v>11</v>
      </c>
      <c r="K382" t="s">
        <v>8</v>
      </c>
      <c r="L382" t="str">
        <f t="shared" si="5"/>
        <v>2023JulyCombined</v>
      </c>
      <c r="M382">
        <v>98.124209999999991</v>
      </c>
      <c r="N382">
        <v>98.1</v>
      </c>
    </row>
    <row r="383" spans="1:14" x14ac:dyDescent="0.25">
      <c r="A383" s="1">
        <v>2023</v>
      </c>
      <c r="B383" s="1" t="s">
        <v>20</v>
      </c>
      <c r="C383" s="1" t="s">
        <v>11</v>
      </c>
      <c r="D383" s="1" t="s">
        <v>6</v>
      </c>
      <c r="E383" s="1">
        <v>97.96472</v>
      </c>
      <c r="H383">
        <v>2023</v>
      </c>
      <c r="I383" t="s">
        <v>20</v>
      </c>
      <c r="J383" t="s">
        <v>11</v>
      </c>
      <c r="K383" t="s">
        <v>6</v>
      </c>
      <c r="L383" t="str">
        <f t="shared" si="5"/>
        <v>2023AugustRural</v>
      </c>
      <c r="M383">
        <v>97.96472</v>
      </c>
      <c r="N383">
        <v>98</v>
      </c>
    </row>
    <row r="384" spans="1:14" x14ac:dyDescent="0.25">
      <c r="A384" s="1">
        <v>2023</v>
      </c>
      <c r="B384" s="1" t="s">
        <v>20</v>
      </c>
      <c r="C384" s="1" t="s">
        <v>11</v>
      </c>
      <c r="D384" s="1" t="s">
        <v>7</v>
      </c>
      <c r="E384" s="1">
        <v>98.154000000000011</v>
      </c>
      <c r="H384">
        <v>2023</v>
      </c>
      <c r="I384" t="s">
        <v>20</v>
      </c>
      <c r="J384" t="s">
        <v>11</v>
      </c>
      <c r="K384" t="s">
        <v>7</v>
      </c>
      <c r="L384" t="str">
        <f t="shared" si="5"/>
        <v>2023AugustUrban</v>
      </c>
      <c r="M384">
        <v>98.154000000000011</v>
      </c>
      <c r="N384">
        <v>98.2</v>
      </c>
    </row>
    <row r="385" spans="1:14" x14ac:dyDescent="0.25">
      <c r="A385" s="1">
        <v>2023</v>
      </c>
      <c r="B385" s="1" t="s">
        <v>20</v>
      </c>
      <c r="C385" s="1" t="s">
        <v>11</v>
      </c>
      <c r="D385" s="1" t="s">
        <v>8</v>
      </c>
      <c r="E385" s="1">
        <v>98.071539999999985</v>
      </c>
      <c r="H385">
        <v>2023</v>
      </c>
      <c r="I385" t="s">
        <v>20</v>
      </c>
      <c r="J385" t="s">
        <v>11</v>
      </c>
      <c r="K385" t="s">
        <v>8</v>
      </c>
      <c r="L385" t="str">
        <f t="shared" si="5"/>
        <v>2023AugustCombined</v>
      </c>
      <c r="M385">
        <v>98.071539999999985</v>
      </c>
      <c r="N385">
        <v>98.1</v>
      </c>
    </row>
    <row r="386" spans="1:14" x14ac:dyDescent="0.25">
      <c r="A386" s="1">
        <v>2023</v>
      </c>
      <c r="B386" s="1" t="s">
        <v>21</v>
      </c>
      <c r="C386" s="1" t="s">
        <v>11</v>
      </c>
      <c r="D386" s="1" t="s">
        <v>6</v>
      </c>
      <c r="E386" s="1">
        <v>97.024760000000001</v>
      </c>
      <c r="H386">
        <v>2023</v>
      </c>
      <c r="I386" t="s">
        <v>21</v>
      </c>
      <c r="J386" t="s">
        <v>11</v>
      </c>
      <c r="K386" t="s">
        <v>6</v>
      </c>
      <c r="L386" t="str">
        <f t="shared" si="5"/>
        <v>2023SeptemberRural</v>
      </c>
      <c r="M386">
        <v>97.024760000000001</v>
      </c>
      <c r="N386">
        <v>97</v>
      </c>
    </row>
    <row r="387" spans="1:14" x14ac:dyDescent="0.25">
      <c r="A387" s="1">
        <v>2023</v>
      </c>
      <c r="B387" s="1" t="s">
        <v>21</v>
      </c>
      <c r="C387" s="1" t="s">
        <v>11</v>
      </c>
      <c r="D387" s="1" t="s">
        <v>7</v>
      </c>
      <c r="E387" s="1">
        <v>96.930400000000006</v>
      </c>
      <c r="H387">
        <v>2023</v>
      </c>
      <c r="I387" t="s">
        <v>21</v>
      </c>
      <c r="J387" t="s">
        <v>11</v>
      </c>
      <c r="K387" t="s">
        <v>7</v>
      </c>
      <c r="L387" t="str">
        <f t="shared" ref="L387:L450" si="6">CONCATENATE(H387,I387,K387)</f>
        <v>2023SeptemberUrban</v>
      </c>
      <c r="M387">
        <v>96.930400000000006</v>
      </c>
      <c r="N387">
        <v>96.9</v>
      </c>
    </row>
    <row r="388" spans="1:14" x14ac:dyDescent="0.25">
      <c r="A388" s="1">
        <v>2023</v>
      </c>
      <c r="B388" s="1" t="s">
        <v>21</v>
      </c>
      <c r="C388" s="1" t="s">
        <v>11</v>
      </c>
      <c r="D388" s="1" t="s">
        <v>8</v>
      </c>
      <c r="E388" s="1">
        <v>96.965469999999982</v>
      </c>
      <c r="H388">
        <v>2023</v>
      </c>
      <c r="I388" t="s">
        <v>21</v>
      </c>
      <c r="J388" t="s">
        <v>11</v>
      </c>
      <c r="K388" t="s">
        <v>8</v>
      </c>
      <c r="L388" t="str">
        <f t="shared" si="6"/>
        <v>2023SeptemberCombined</v>
      </c>
      <c r="M388">
        <v>96.965469999999982</v>
      </c>
      <c r="N388">
        <v>97</v>
      </c>
    </row>
    <row r="389" spans="1:14" x14ac:dyDescent="0.25">
      <c r="A389" s="1">
        <v>2023</v>
      </c>
      <c r="B389" s="1" t="s">
        <v>22</v>
      </c>
      <c r="C389" s="1" t="s">
        <v>11</v>
      </c>
      <c r="D389" s="1" t="s">
        <v>6</v>
      </c>
      <c r="E389" s="1">
        <v>97.651399999999995</v>
      </c>
      <c r="H389">
        <v>2023</v>
      </c>
      <c r="I389" t="s">
        <v>22</v>
      </c>
      <c r="J389" t="s">
        <v>11</v>
      </c>
      <c r="K389" t="s">
        <v>6</v>
      </c>
      <c r="L389" t="str">
        <f t="shared" si="6"/>
        <v>2023OctoberRural</v>
      </c>
      <c r="M389">
        <v>97.651399999999995</v>
      </c>
      <c r="N389">
        <v>97.7</v>
      </c>
    </row>
    <row r="390" spans="1:14" x14ac:dyDescent="0.25">
      <c r="A390" s="1">
        <v>2023</v>
      </c>
      <c r="B390" s="1" t="s">
        <v>22</v>
      </c>
      <c r="C390" s="1" t="s">
        <v>11</v>
      </c>
      <c r="D390" s="1" t="s">
        <v>7</v>
      </c>
      <c r="E390" s="1">
        <v>97.56880000000001</v>
      </c>
      <c r="H390">
        <v>2023</v>
      </c>
      <c r="I390" t="s">
        <v>22</v>
      </c>
      <c r="J390" t="s">
        <v>11</v>
      </c>
      <c r="K390" t="s">
        <v>7</v>
      </c>
      <c r="L390" t="str">
        <f t="shared" si="6"/>
        <v>2023OctoberUrban</v>
      </c>
      <c r="M390">
        <v>97.56880000000001</v>
      </c>
      <c r="N390">
        <v>97.6</v>
      </c>
    </row>
    <row r="391" spans="1:14" x14ac:dyDescent="0.25">
      <c r="A391" s="1">
        <v>2023</v>
      </c>
      <c r="B391" s="1" t="s">
        <v>22</v>
      </c>
      <c r="C391" s="1" t="s">
        <v>11</v>
      </c>
      <c r="D391" s="1" t="s">
        <v>8</v>
      </c>
      <c r="E391" s="1">
        <v>97.59751</v>
      </c>
      <c r="H391">
        <v>2023</v>
      </c>
      <c r="I391" t="s">
        <v>22</v>
      </c>
      <c r="J391" t="s">
        <v>11</v>
      </c>
      <c r="K391" t="s">
        <v>8</v>
      </c>
      <c r="L391" t="str">
        <f t="shared" si="6"/>
        <v>2023OctoberCombined</v>
      </c>
      <c r="M391">
        <v>97.59751</v>
      </c>
      <c r="N391">
        <v>97.6</v>
      </c>
    </row>
    <row r="392" spans="1:14" x14ac:dyDescent="0.25">
      <c r="A392" s="1">
        <v>2023</v>
      </c>
      <c r="B392" s="1" t="s">
        <v>23</v>
      </c>
      <c r="C392" s="1" t="s">
        <v>11</v>
      </c>
      <c r="D392" s="1" t="s">
        <v>6</v>
      </c>
      <c r="E392" s="1">
        <v>98.27803999999999</v>
      </c>
      <c r="H392">
        <v>2023</v>
      </c>
      <c r="I392" t="s">
        <v>23</v>
      </c>
      <c r="J392" t="s">
        <v>11</v>
      </c>
      <c r="K392" t="s">
        <v>6</v>
      </c>
      <c r="L392" t="str">
        <f t="shared" si="6"/>
        <v>2023NovemberRural</v>
      </c>
      <c r="M392">
        <v>98.27803999999999</v>
      </c>
      <c r="N392">
        <v>98.3</v>
      </c>
    </row>
    <row r="393" spans="1:14" x14ac:dyDescent="0.25">
      <c r="A393" s="1">
        <v>2023</v>
      </c>
      <c r="B393" s="1" t="s">
        <v>23</v>
      </c>
      <c r="C393" s="1" t="s">
        <v>11</v>
      </c>
      <c r="D393" s="1" t="s">
        <v>7</v>
      </c>
      <c r="E393" s="1">
        <v>97.994399999999999</v>
      </c>
      <c r="H393">
        <v>2023</v>
      </c>
      <c r="I393" t="s">
        <v>23</v>
      </c>
      <c r="J393" t="s">
        <v>11</v>
      </c>
      <c r="K393" t="s">
        <v>7</v>
      </c>
      <c r="L393" t="str">
        <f t="shared" si="6"/>
        <v>2023NovemberUrban</v>
      </c>
      <c r="M393">
        <v>97.994399999999999</v>
      </c>
      <c r="N393">
        <v>98</v>
      </c>
    </row>
    <row r="394" spans="1:14" x14ac:dyDescent="0.25">
      <c r="A394" s="1">
        <v>2023</v>
      </c>
      <c r="B394" s="1" t="s">
        <v>23</v>
      </c>
      <c r="C394" s="1" t="s">
        <v>11</v>
      </c>
      <c r="D394" s="1" t="s">
        <v>8</v>
      </c>
      <c r="E394" s="1">
        <v>98.124209999999991</v>
      </c>
      <c r="H394">
        <v>2023</v>
      </c>
      <c r="I394" t="s">
        <v>23</v>
      </c>
      <c r="J394" t="s">
        <v>11</v>
      </c>
      <c r="K394" t="s">
        <v>8</v>
      </c>
      <c r="L394" t="str">
        <f t="shared" si="6"/>
        <v>2023NovemberCombined</v>
      </c>
      <c r="M394">
        <v>98.124209999999991</v>
      </c>
      <c r="N394">
        <v>98.1</v>
      </c>
    </row>
    <row r="395" spans="1:14" x14ac:dyDescent="0.25">
      <c r="A395" s="1">
        <v>2023</v>
      </c>
      <c r="B395" s="1" t="s">
        <v>24</v>
      </c>
      <c r="C395" s="1" t="s">
        <v>11</v>
      </c>
      <c r="D395" s="1" t="s">
        <v>6</v>
      </c>
      <c r="E395" s="1">
        <v>97.96472</v>
      </c>
      <c r="H395">
        <v>2023</v>
      </c>
      <c r="I395" t="s">
        <v>24</v>
      </c>
      <c r="J395" t="s">
        <v>11</v>
      </c>
      <c r="K395" t="s">
        <v>6</v>
      </c>
      <c r="L395" t="str">
        <f t="shared" si="6"/>
        <v>2023DecemberRural</v>
      </c>
      <c r="M395">
        <v>97.96472</v>
      </c>
      <c r="N395">
        <v>98</v>
      </c>
    </row>
    <row r="396" spans="1:14" x14ac:dyDescent="0.25">
      <c r="A396" s="1">
        <v>2023</v>
      </c>
      <c r="B396" s="1" t="s">
        <v>24</v>
      </c>
      <c r="C396" s="1" t="s">
        <v>11</v>
      </c>
      <c r="D396" s="1" t="s">
        <v>7</v>
      </c>
      <c r="E396" s="1">
        <v>97.675200000000004</v>
      </c>
      <c r="H396">
        <v>2023</v>
      </c>
      <c r="I396" t="s">
        <v>24</v>
      </c>
      <c r="J396" t="s">
        <v>11</v>
      </c>
      <c r="K396" t="s">
        <v>7</v>
      </c>
      <c r="L396" t="str">
        <f t="shared" si="6"/>
        <v>2023DecemberUrban</v>
      </c>
      <c r="M396">
        <v>97.675200000000004</v>
      </c>
      <c r="N396">
        <v>97.7</v>
      </c>
    </row>
    <row r="397" spans="1:14" x14ac:dyDescent="0.25">
      <c r="A397" s="1">
        <v>2023</v>
      </c>
      <c r="B397" s="1" t="s">
        <v>24</v>
      </c>
      <c r="C397" s="1" t="s">
        <v>11</v>
      </c>
      <c r="D397" s="1" t="s">
        <v>8</v>
      </c>
      <c r="E397" s="1">
        <v>97.808189999999982</v>
      </c>
      <c r="H397">
        <v>2023</v>
      </c>
      <c r="I397" t="s">
        <v>24</v>
      </c>
      <c r="J397" t="s">
        <v>11</v>
      </c>
      <c r="K397" t="s">
        <v>8</v>
      </c>
      <c r="L397" t="str">
        <f t="shared" si="6"/>
        <v>2023DecemberCombined</v>
      </c>
      <c r="M397">
        <v>97.808189999999982</v>
      </c>
      <c r="N397">
        <v>97.8</v>
      </c>
    </row>
    <row r="398" spans="1:14" x14ac:dyDescent="0.25">
      <c r="A398" s="1">
        <v>2024</v>
      </c>
      <c r="B398" s="1" t="s">
        <v>10</v>
      </c>
      <c r="C398" s="1" t="s">
        <v>11</v>
      </c>
      <c r="D398" s="1" t="s">
        <v>6</v>
      </c>
      <c r="E398" s="1">
        <v>97.808060000000012</v>
      </c>
      <c r="H398">
        <v>2024</v>
      </c>
      <c r="I398" t="s">
        <v>10</v>
      </c>
      <c r="J398" t="s">
        <v>11</v>
      </c>
      <c r="K398" t="s">
        <v>6</v>
      </c>
      <c r="L398" t="str">
        <f t="shared" si="6"/>
        <v>2024JanuaryRural</v>
      </c>
      <c r="M398">
        <v>97.808060000000012</v>
      </c>
      <c r="N398">
        <v>97.8</v>
      </c>
    </row>
    <row r="399" spans="1:14" x14ac:dyDescent="0.25">
      <c r="A399" s="1">
        <v>2024</v>
      </c>
      <c r="B399" s="1" t="s">
        <v>10</v>
      </c>
      <c r="C399" s="1" t="s">
        <v>11</v>
      </c>
      <c r="D399" s="1" t="s">
        <v>7</v>
      </c>
      <c r="E399" s="1">
        <v>97.622</v>
      </c>
      <c r="H399">
        <v>2024</v>
      </c>
      <c r="I399" t="s">
        <v>10</v>
      </c>
      <c r="J399" t="s">
        <v>11</v>
      </c>
      <c r="K399" t="s">
        <v>7</v>
      </c>
      <c r="L399" t="str">
        <f t="shared" si="6"/>
        <v>2024JanuaryUrban</v>
      </c>
      <c r="M399">
        <v>97.622</v>
      </c>
      <c r="N399">
        <v>97.6</v>
      </c>
    </row>
    <row r="400" spans="1:14" x14ac:dyDescent="0.25">
      <c r="A400" s="1">
        <v>2024</v>
      </c>
      <c r="B400" s="1" t="s">
        <v>10</v>
      </c>
      <c r="C400" s="1" t="s">
        <v>11</v>
      </c>
      <c r="D400" s="1" t="s">
        <v>8</v>
      </c>
      <c r="E400" s="1">
        <v>97.702849999999984</v>
      </c>
      <c r="H400">
        <v>2024</v>
      </c>
      <c r="I400" t="s">
        <v>10</v>
      </c>
      <c r="J400" t="s">
        <v>11</v>
      </c>
      <c r="K400" t="s">
        <v>8</v>
      </c>
      <c r="L400" t="str">
        <f t="shared" si="6"/>
        <v>2024JanuaryCombined</v>
      </c>
      <c r="M400">
        <v>97.702849999999984</v>
      </c>
      <c r="N400">
        <v>97.7</v>
      </c>
    </row>
    <row r="401" spans="1:14" x14ac:dyDescent="0.25">
      <c r="A401" s="1">
        <v>2024</v>
      </c>
      <c r="B401" s="1" t="s">
        <v>14</v>
      </c>
      <c r="C401" s="1" t="s">
        <v>11</v>
      </c>
      <c r="D401" s="1" t="s">
        <v>6</v>
      </c>
      <c r="E401" s="1">
        <v>97.860280000000003</v>
      </c>
      <c r="H401">
        <v>2024</v>
      </c>
      <c r="I401" t="s">
        <v>14</v>
      </c>
      <c r="J401" t="s">
        <v>11</v>
      </c>
      <c r="K401" t="s">
        <v>6</v>
      </c>
      <c r="L401" t="str">
        <f t="shared" si="6"/>
        <v>2024FebruaryRural</v>
      </c>
      <c r="M401">
        <v>97.860280000000003</v>
      </c>
      <c r="N401">
        <v>97.9</v>
      </c>
    </row>
    <row r="402" spans="1:14" x14ac:dyDescent="0.25">
      <c r="A402" s="1">
        <v>2024</v>
      </c>
      <c r="B402" s="1" t="s">
        <v>14</v>
      </c>
      <c r="C402" s="1" t="s">
        <v>11</v>
      </c>
      <c r="D402" s="1" t="s">
        <v>7</v>
      </c>
      <c r="E402" s="1">
        <v>97.888000000000005</v>
      </c>
      <c r="H402">
        <v>2024</v>
      </c>
      <c r="I402" t="s">
        <v>14</v>
      </c>
      <c r="J402" t="s">
        <v>11</v>
      </c>
      <c r="K402" t="s">
        <v>7</v>
      </c>
      <c r="L402" t="str">
        <f t="shared" si="6"/>
        <v>2024FebruaryUrban</v>
      </c>
      <c r="M402">
        <v>97.888000000000005</v>
      </c>
      <c r="N402">
        <v>97.9</v>
      </c>
    </row>
    <row r="403" spans="1:14" x14ac:dyDescent="0.25">
      <c r="A403" s="1">
        <v>2024</v>
      </c>
      <c r="B403" s="1" t="s">
        <v>14</v>
      </c>
      <c r="C403" s="1" t="s">
        <v>11</v>
      </c>
      <c r="D403" s="1" t="s">
        <v>8</v>
      </c>
      <c r="E403" s="1">
        <v>97.860860000000002</v>
      </c>
      <c r="H403">
        <v>2024</v>
      </c>
      <c r="I403" t="s">
        <v>14</v>
      </c>
      <c r="J403" t="s">
        <v>11</v>
      </c>
      <c r="K403" t="s">
        <v>8</v>
      </c>
      <c r="L403" t="str">
        <f t="shared" si="6"/>
        <v>2024FebruaryCombined</v>
      </c>
      <c r="M403">
        <v>97.860860000000002</v>
      </c>
      <c r="N403">
        <v>97.9</v>
      </c>
    </row>
    <row r="404" spans="1:14" x14ac:dyDescent="0.25">
      <c r="A404" s="1">
        <v>2024</v>
      </c>
      <c r="B404" s="1" t="s">
        <v>15</v>
      </c>
      <c r="C404" s="1" t="s">
        <v>11</v>
      </c>
      <c r="D404" s="1" t="s">
        <v>6</v>
      </c>
      <c r="E404" s="1">
        <v>98.069160000000011</v>
      </c>
      <c r="H404">
        <v>2024</v>
      </c>
      <c r="I404" t="s">
        <v>15</v>
      </c>
      <c r="J404" t="s">
        <v>11</v>
      </c>
      <c r="K404" t="s">
        <v>6</v>
      </c>
      <c r="L404" t="str">
        <f t="shared" si="6"/>
        <v>2024MarchRural</v>
      </c>
      <c r="M404">
        <v>98.069160000000011</v>
      </c>
      <c r="N404">
        <v>98.1</v>
      </c>
    </row>
    <row r="405" spans="1:14" x14ac:dyDescent="0.25">
      <c r="A405" s="1">
        <v>2024</v>
      </c>
      <c r="B405" s="1" t="s">
        <v>15</v>
      </c>
      <c r="C405" s="1" t="s">
        <v>11</v>
      </c>
      <c r="D405" s="1" t="s">
        <v>7</v>
      </c>
      <c r="E405" s="1">
        <v>97.675200000000004</v>
      </c>
      <c r="H405">
        <v>2024</v>
      </c>
      <c r="I405" t="s">
        <v>15</v>
      </c>
      <c r="J405" t="s">
        <v>11</v>
      </c>
      <c r="K405" t="s">
        <v>7</v>
      </c>
      <c r="L405" t="str">
        <f t="shared" si="6"/>
        <v>2024MarchUrban</v>
      </c>
      <c r="M405">
        <v>97.675200000000004</v>
      </c>
      <c r="N405">
        <v>97.7</v>
      </c>
    </row>
    <row r="406" spans="1:14" x14ac:dyDescent="0.25">
      <c r="A406" s="1">
        <v>2024</v>
      </c>
      <c r="B406" s="1" t="s">
        <v>15</v>
      </c>
      <c r="C406" s="1" t="s">
        <v>11</v>
      </c>
      <c r="D406" s="1" t="s">
        <v>8</v>
      </c>
      <c r="E406" s="1">
        <v>97.860860000000002</v>
      </c>
      <c r="H406">
        <v>2024</v>
      </c>
      <c r="I406" t="s">
        <v>15</v>
      </c>
      <c r="J406" t="s">
        <v>11</v>
      </c>
      <c r="K406" t="s">
        <v>8</v>
      </c>
      <c r="L406" t="str">
        <f t="shared" si="6"/>
        <v>2024MarchCombined</v>
      </c>
      <c r="M406">
        <v>97.860860000000002</v>
      </c>
      <c r="N406">
        <v>97.9</v>
      </c>
    </row>
    <row r="407" spans="1:14" x14ac:dyDescent="0.25">
      <c r="A407" s="1">
        <v>2024</v>
      </c>
      <c r="B407" s="1" t="s">
        <v>16</v>
      </c>
      <c r="C407" s="1" t="s">
        <v>11</v>
      </c>
      <c r="D407" s="1" t="s">
        <v>6</v>
      </c>
      <c r="E407" s="1">
        <v>98.434700000000007</v>
      </c>
      <c r="H407">
        <v>2024</v>
      </c>
      <c r="I407" t="s">
        <v>16</v>
      </c>
      <c r="J407" t="s">
        <v>11</v>
      </c>
      <c r="K407" t="s">
        <v>6</v>
      </c>
      <c r="L407" t="str">
        <f t="shared" si="6"/>
        <v>2024AprilRural</v>
      </c>
      <c r="M407">
        <v>98.434700000000007</v>
      </c>
      <c r="N407">
        <v>98.4</v>
      </c>
    </row>
    <row r="408" spans="1:14" x14ac:dyDescent="0.25">
      <c r="A408" s="1">
        <v>2024</v>
      </c>
      <c r="B408" s="1" t="s">
        <v>16</v>
      </c>
      <c r="C408" s="1" t="s">
        <v>11</v>
      </c>
      <c r="D408" s="1" t="s">
        <v>7</v>
      </c>
      <c r="E408" s="1">
        <v>98.260400000000004</v>
      </c>
      <c r="H408">
        <v>2024</v>
      </c>
      <c r="I408" t="s">
        <v>16</v>
      </c>
      <c r="J408" t="s">
        <v>11</v>
      </c>
      <c r="K408" t="s">
        <v>7</v>
      </c>
      <c r="L408" t="str">
        <f t="shared" si="6"/>
        <v>2024AprilUrban</v>
      </c>
      <c r="M408">
        <v>98.260400000000004</v>
      </c>
      <c r="N408">
        <v>98.3</v>
      </c>
    </row>
    <row r="409" spans="1:14" x14ac:dyDescent="0.25">
      <c r="A409" s="1">
        <v>2024</v>
      </c>
      <c r="B409" s="1" t="s">
        <v>16</v>
      </c>
      <c r="C409" s="1" t="s">
        <v>11</v>
      </c>
      <c r="D409" s="1" t="s">
        <v>8</v>
      </c>
      <c r="E409" s="1">
        <v>98.334889999999987</v>
      </c>
      <c r="H409">
        <v>2024</v>
      </c>
      <c r="I409" t="s">
        <v>16</v>
      </c>
      <c r="J409" t="s">
        <v>11</v>
      </c>
      <c r="K409" t="s">
        <v>8</v>
      </c>
      <c r="L409" t="str">
        <f t="shared" si="6"/>
        <v>2024AprilCombined</v>
      </c>
      <c r="M409">
        <v>98.334889999999987</v>
      </c>
      <c r="N409">
        <v>98.3</v>
      </c>
    </row>
    <row r="410" spans="1:14" x14ac:dyDescent="0.25">
      <c r="A410" s="1">
        <v>2024</v>
      </c>
      <c r="B410" s="1" t="s">
        <v>17</v>
      </c>
      <c r="C410" s="1" t="s">
        <v>11</v>
      </c>
      <c r="D410" s="1" t="s">
        <v>6</v>
      </c>
      <c r="E410" s="1">
        <v>98.904679999999999</v>
      </c>
      <c r="H410">
        <v>2024</v>
      </c>
      <c r="I410" t="s">
        <v>17</v>
      </c>
      <c r="J410" t="s">
        <v>11</v>
      </c>
      <c r="K410" t="s">
        <v>6</v>
      </c>
      <c r="L410" t="str">
        <f t="shared" si="6"/>
        <v>2024MayRural</v>
      </c>
      <c r="M410">
        <v>98.904679999999999</v>
      </c>
      <c r="N410">
        <v>98.9</v>
      </c>
    </row>
    <row r="411" spans="1:14" x14ac:dyDescent="0.25">
      <c r="A411" s="1">
        <v>2024</v>
      </c>
      <c r="B411" s="1" t="s">
        <v>17</v>
      </c>
      <c r="C411" s="1" t="s">
        <v>11</v>
      </c>
      <c r="D411" s="1" t="s">
        <v>7</v>
      </c>
      <c r="E411" s="1">
        <v>98.792400000000001</v>
      </c>
      <c r="H411">
        <v>2024</v>
      </c>
      <c r="I411" t="s">
        <v>17</v>
      </c>
      <c r="J411" t="s">
        <v>11</v>
      </c>
      <c r="K411" t="s">
        <v>7</v>
      </c>
      <c r="L411" t="str">
        <f t="shared" si="6"/>
        <v>2024MayUrban</v>
      </c>
      <c r="M411">
        <v>98.792400000000001</v>
      </c>
      <c r="N411">
        <v>98.8</v>
      </c>
    </row>
    <row r="412" spans="1:14" x14ac:dyDescent="0.25">
      <c r="A412" s="1">
        <v>2024</v>
      </c>
      <c r="B412" s="1" t="s">
        <v>17</v>
      </c>
      <c r="C412" s="1" t="s">
        <v>11</v>
      </c>
      <c r="D412" s="1" t="s">
        <v>8</v>
      </c>
      <c r="E412" s="1">
        <v>98.861589999999978</v>
      </c>
      <c r="H412">
        <v>2024</v>
      </c>
      <c r="I412" t="s">
        <v>17</v>
      </c>
      <c r="J412" t="s">
        <v>11</v>
      </c>
      <c r="K412" t="s">
        <v>8</v>
      </c>
      <c r="L412" t="str">
        <f t="shared" si="6"/>
        <v>2024MayCombined</v>
      </c>
      <c r="M412">
        <v>98.861589999999978</v>
      </c>
      <c r="N412">
        <v>98.9</v>
      </c>
    </row>
    <row r="413" spans="1:14" x14ac:dyDescent="0.25">
      <c r="A413" s="1">
        <v>2024</v>
      </c>
      <c r="B413" s="1" t="s">
        <v>18</v>
      </c>
      <c r="C413" s="1" t="s">
        <v>11</v>
      </c>
      <c r="D413" s="1" t="s">
        <v>6</v>
      </c>
      <c r="E413" s="1">
        <v>100.36684</v>
      </c>
      <c r="H413">
        <v>2024</v>
      </c>
      <c r="I413" t="s">
        <v>18</v>
      </c>
      <c r="J413" t="s">
        <v>11</v>
      </c>
      <c r="K413" t="s">
        <v>6</v>
      </c>
      <c r="L413" t="str">
        <f t="shared" si="6"/>
        <v>2024JuneRural</v>
      </c>
      <c r="M413">
        <v>100.36684</v>
      </c>
      <c r="N413">
        <v>100.4</v>
      </c>
    </row>
    <row r="414" spans="1:14" x14ac:dyDescent="0.25">
      <c r="A414" s="1">
        <v>2024</v>
      </c>
      <c r="B414" s="1" t="s">
        <v>18</v>
      </c>
      <c r="C414" s="1" t="s">
        <v>11</v>
      </c>
      <c r="D414" s="1" t="s">
        <v>7</v>
      </c>
      <c r="E414" s="1">
        <v>99.909600000000012</v>
      </c>
      <c r="H414">
        <v>2024</v>
      </c>
      <c r="I414" t="s">
        <v>18</v>
      </c>
      <c r="J414" t="s">
        <v>11</v>
      </c>
      <c r="K414" t="s">
        <v>7</v>
      </c>
      <c r="L414" t="str">
        <f t="shared" si="6"/>
        <v>2024JuneUrban</v>
      </c>
      <c r="M414">
        <v>99.909600000000012</v>
      </c>
      <c r="N414">
        <v>99.9</v>
      </c>
    </row>
    <row r="415" spans="1:14" x14ac:dyDescent="0.25">
      <c r="A415" s="1">
        <v>2024</v>
      </c>
      <c r="B415" s="1" t="s">
        <v>18</v>
      </c>
      <c r="C415" s="1" t="s">
        <v>11</v>
      </c>
      <c r="D415" s="1" t="s">
        <v>8</v>
      </c>
      <c r="E415" s="1">
        <v>100.17833999999998</v>
      </c>
      <c r="H415">
        <v>2024</v>
      </c>
      <c r="I415" t="s">
        <v>18</v>
      </c>
      <c r="J415" t="s">
        <v>11</v>
      </c>
      <c r="K415" t="s">
        <v>8</v>
      </c>
      <c r="L415" t="str">
        <f t="shared" si="6"/>
        <v>2024JuneCombined</v>
      </c>
      <c r="M415">
        <v>100.17833999999998</v>
      </c>
      <c r="N415">
        <v>100.2</v>
      </c>
    </row>
    <row r="416" spans="1:14" x14ac:dyDescent="0.25">
      <c r="A416" s="1">
        <v>2024</v>
      </c>
      <c r="B416" s="1" t="s">
        <v>19</v>
      </c>
      <c r="C416" s="1" t="s">
        <v>11</v>
      </c>
      <c r="D416" s="1" t="s">
        <v>6</v>
      </c>
      <c r="E416" s="1">
        <v>101.98566000000001</v>
      </c>
      <c r="H416">
        <v>2024</v>
      </c>
      <c r="I416" t="s">
        <v>19</v>
      </c>
      <c r="J416" t="s">
        <v>11</v>
      </c>
      <c r="K416" t="s">
        <v>6</v>
      </c>
      <c r="L416" t="str">
        <f t="shared" si="6"/>
        <v>2024JulyRural</v>
      </c>
      <c r="M416">
        <v>101.98566000000001</v>
      </c>
      <c r="N416">
        <v>102</v>
      </c>
    </row>
    <row r="417" spans="1:14" x14ac:dyDescent="0.25">
      <c r="A417" s="1">
        <v>2024</v>
      </c>
      <c r="B417" s="1" t="s">
        <v>19</v>
      </c>
      <c r="C417" s="1" t="s">
        <v>11</v>
      </c>
      <c r="D417" s="1" t="s">
        <v>7</v>
      </c>
      <c r="E417" s="1">
        <v>101.23960000000001</v>
      </c>
      <c r="H417">
        <v>2024</v>
      </c>
      <c r="I417" t="s">
        <v>19</v>
      </c>
      <c r="J417" t="s">
        <v>11</v>
      </c>
      <c r="K417" t="s">
        <v>7</v>
      </c>
      <c r="L417" t="str">
        <f t="shared" si="6"/>
        <v>2024JulyUrban</v>
      </c>
      <c r="M417">
        <v>101.23960000000001</v>
      </c>
      <c r="N417">
        <v>101.2</v>
      </c>
    </row>
    <row r="418" spans="1:14" x14ac:dyDescent="0.25">
      <c r="A418" s="1">
        <v>2024</v>
      </c>
      <c r="B418" s="1" t="s">
        <v>19</v>
      </c>
      <c r="C418" s="1" t="s">
        <v>11</v>
      </c>
      <c r="D418" s="1" t="s">
        <v>8</v>
      </c>
      <c r="E418" s="1">
        <v>101.65309999999999</v>
      </c>
      <c r="H418">
        <v>2024</v>
      </c>
      <c r="I418" t="s">
        <v>19</v>
      </c>
      <c r="J418" t="s">
        <v>11</v>
      </c>
      <c r="K418" t="s">
        <v>8</v>
      </c>
      <c r="L418" t="str">
        <f t="shared" si="6"/>
        <v>2024JulyCombined</v>
      </c>
      <c r="M418">
        <v>101.65309999999999</v>
      </c>
      <c r="N418">
        <v>101.7</v>
      </c>
    </row>
    <row r="419" spans="1:14" x14ac:dyDescent="0.25">
      <c r="A419" s="1">
        <v>2024</v>
      </c>
      <c r="B419" s="1" t="s">
        <v>20</v>
      </c>
      <c r="C419" s="1" t="s">
        <v>11</v>
      </c>
      <c r="D419" s="1" t="s">
        <v>6</v>
      </c>
      <c r="E419" s="1">
        <v>102.03788</v>
      </c>
      <c r="H419">
        <v>2024</v>
      </c>
      <c r="I419" t="s">
        <v>20</v>
      </c>
      <c r="J419" t="s">
        <v>11</v>
      </c>
      <c r="K419" t="s">
        <v>6</v>
      </c>
      <c r="L419" t="str">
        <f t="shared" si="6"/>
        <v>2024AugustRural</v>
      </c>
      <c r="M419">
        <v>102.03788</v>
      </c>
      <c r="N419">
        <v>102</v>
      </c>
    </row>
    <row r="420" spans="1:14" x14ac:dyDescent="0.25">
      <c r="A420" s="1">
        <v>2024</v>
      </c>
      <c r="B420" s="1" t="s">
        <v>20</v>
      </c>
      <c r="C420" s="1" t="s">
        <v>11</v>
      </c>
      <c r="D420" s="1" t="s">
        <v>7</v>
      </c>
      <c r="E420" s="1">
        <v>101.23960000000001</v>
      </c>
      <c r="H420">
        <v>2024</v>
      </c>
      <c r="I420" t="s">
        <v>20</v>
      </c>
      <c r="J420" t="s">
        <v>11</v>
      </c>
      <c r="K420" t="s">
        <v>7</v>
      </c>
      <c r="L420" t="str">
        <f t="shared" si="6"/>
        <v>2024AugustUrban</v>
      </c>
      <c r="M420">
        <v>101.23960000000001</v>
      </c>
      <c r="N420">
        <v>101.2</v>
      </c>
    </row>
    <row r="421" spans="1:14" x14ac:dyDescent="0.25">
      <c r="A421" s="1">
        <v>2024</v>
      </c>
      <c r="B421" s="1" t="s">
        <v>20</v>
      </c>
      <c r="C421" s="1" t="s">
        <v>11</v>
      </c>
      <c r="D421" s="1" t="s">
        <v>8</v>
      </c>
      <c r="E421" s="1">
        <v>101.65309999999999</v>
      </c>
      <c r="H421">
        <v>2024</v>
      </c>
      <c r="I421" t="s">
        <v>20</v>
      </c>
      <c r="J421" t="s">
        <v>11</v>
      </c>
      <c r="K421" t="s">
        <v>8</v>
      </c>
      <c r="L421" t="str">
        <f t="shared" si="6"/>
        <v>2024AugustCombined</v>
      </c>
      <c r="M421">
        <v>101.65309999999999</v>
      </c>
      <c r="N421">
        <v>101.7</v>
      </c>
    </row>
    <row r="422" spans="1:14" x14ac:dyDescent="0.25">
      <c r="A422" s="1">
        <v>2024</v>
      </c>
      <c r="B422" s="1" t="s">
        <v>21</v>
      </c>
      <c r="C422" s="1" t="s">
        <v>11</v>
      </c>
      <c r="D422" s="1" t="s">
        <v>6</v>
      </c>
      <c r="E422" s="1">
        <v>102.71673999999999</v>
      </c>
      <c r="H422">
        <v>2024</v>
      </c>
      <c r="I422" t="s">
        <v>21</v>
      </c>
      <c r="J422" t="s">
        <v>11</v>
      </c>
      <c r="K422" t="s">
        <v>6</v>
      </c>
      <c r="L422" t="str">
        <f t="shared" si="6"/>
        <v>2024SeptemberRural</v>
      </c>
      <c r="M422">
        <v>102.71673999999999</v>
      </c>
      <c r="N422">
        <v>102.7</v>
      </c>
    </row>
    <row r="423" spans="1:14" x14ac:dyDescent="0.25">
      <c r="A423" s="1">
        <v>2024</v>
      </c>
      <c r="B423" s="1" t="s">
        <v>21</v>
      </c>
      <c r="C423" s="1" t="s">
        <v>11</v>
      </c>
      <c r="D423" s="1" t="s">
        <v>7</v>
      </c>
      <c r="E423" s="1">
        <v>101.82480000000001</v>
      </c>
      <c r="H423">
        <v>2024</v>
      </c>
      <c r="I423" t="s">
        <v>21</v>
      </c>
      <c r="J423" t="s">
        <v>11</v>
      </c>
      <c r="K423" t="s">
        <v>7</v>
      </c>
      <c r="L423" t="str">
        <f t="shared" si="6"/>
        <v>2024SeptemberUrban</v>
      </c>
      <c r="M423">
        <v>101.82480000000001</v>
      </c>
      <c r="N423">
        <v>101.8</v>
      </c>
    </row>
    <row r="424" spans="1:14" x14ac:dyDescent="0.25">
      <c r="A424" s="1">
        <v>2024</v>
      </c>
      <c r="B424" s="1" t="s">
        <v>21</v>
      </c>
      <c r="C424" s="1" t="s">
        <v>11</v>
      </c>
      <c r="D424" s="1" t="s">
        <v>8</v>
      </c>
      <c r="E424" s="1">
        <v>102.28513999999998</v>
      </c>
      <c r="H424">
        <v>2024</v>
      </c>
      <c r="I424" t="s">
        <v>21</v>
      </c>
      <c r="J424" t="s">
        <v>11</v>
      </c>
      <c r="K424" t="s">
        <v>8</v>
      </c>
      <c r="L424" t="str">
        <f t="shared" si="6"/>
        <v>2024SeptemberCombined</v>
      </c>
      <c r="M424">
        <v>102.28513999999998</v>
      </c>
      <c r="N424">
        <v>102.3</v>
      </c>
    </row>
    <row r="425" spans="1:14" x14ac:dyDescent="0.25">
      <c r="A425" s="1">
        <v>2024</v>
      </c>
      <c r="B425" s="1" t="s">
        <v>22</v>
      </c>
      <c r="C425" s="1" t="s">
        <v>11</v>
      </c>
      <c r="D425" s="1" t="s">
        <v>6</v>
      </c>
      <c r="E425" s="1">
        <v>104.1789</v>
      </c>
      <c r="H425">
        <v>2024</v>
      </c>
      <c r="I425" t="s">
        <v>22</v>
      </c>
      <c r="J425" t="s">
        <v>11</v>
      </c>
      <c r="K425" t="s">
        <v>6</v>
      </c>
      <c r="L425" t="str">
        <f t="shared" si="6"/>
        <v>2024OctoberRural</v>
      </c>
      <c r="M425">
        <v>104.1789</v>
      </c>
      <c r="N425">
        <v>104.2</v>
      </c>
    </row>
    <row r="426" spans="1:14" x14ac:dyDescent="0.25">
      <c r="A426" s="1">
        <v>2024</v>
      </c>
      <c r="B426" s="1" t="s">
        <v>22</v>
      </c>
      <c r="C426" s="1" t="s">
        <v>11</v>
      </c>
      <c r="D426" s="1" t="s">
        <v>7</v>
      </c>
      <c r="E426" s="1">
        <v>103.0484</v>
      </c>
      <c r="H426">
        <v>2024</v>
      </c>
      <c r="I426" t="s">
        <v>22</v>
      </c>
      <c r="J426" t="s">
        <v>11</v>
      </c>
      <c r="K426" t="s">
        <v>7</v>
      </c>
      <c r="L426" t="str">
        <f t="shared" si="6"/>
        <v>2024OctoberUrban</v>
      </c>
      <c r="M426">
        <v>103.0484</v>
      </c>
      <c r="N426">
        <v>103</v>
      </c>
    </row>
    <row r="427" spans="1:14" x14ac:dyDescent="0.25">
      <c r="A427" s="1">
        <v>2024</v>
      </c>
      <c r="B427" s="1" t="s">
        <v>22</v>
      </c>
      <c r="C427" s="1" t="s">
        <v>11</v>
      </c>
      <c r="D427" s="1" t="s">
        <v>8</v>
      </c>
      <c r="E427" s="1">
        <v>103.65455999999999</v>
      </c>
      <c r="H427">
        <v>2024</v>
      </c>
      <c r="I427" t="s">
        <v>22</v>
      </c>
      <c r="J427" t="s">
        <v>11</v>
      </c>
      <c r="K427" t="s">
        <v>8</v>
      </c>
      <c r="L427" t="str">
        <f t="shared" si="6"/>
        <v>2024OctoberCombined</v>
      </c>
      <c r="M427">
        <v>103.65455999999999</v>
      </c>
      <c r="N427">
        <v>103.7</v>
      </c>
    </row>
    <row r="428" spans="1:14" x14ac:dyDescent="0.25">
      <c r="A428" s="1">
        <v>2024</v>
      </c>
      <c r="B428" s="1" t="s">
        <v>23</v>
      </c>
      <c r="C428" s="1" t="s">
        <v>11</v>
      </c>
      <c r="D428" s="1" t="s">
        <v>6</v>
      </c>
      <c r="E428" s="1">
        <v>104.12668000000001</v>
      </c>
      <c r="H428">
        <v>2024</v>
      </c>
      <c r="I428" t="s">
        <v>23</v>
      </c>
      <c r="J428" t="s">
        <v>11</v>
      </c>
      <c r="K428" t="s">
        <v>6</v>
      </c>
      <c r="L428" t="str">
        <f t="shared" si="6"/>
        <v>2024NovemberRural</v>
      </c>
      <c r="M428">
        <v>104.12668000000001</v>
      </c>
      <c r="N428">
        <v>104.1</v>
      </c>
    </row>
    <row r="429" spans="1:14" x14ac:dyDescent="0.25">
      <c r="A429" s="1">
        <v>2024</v>
      </c>
      <c r="B429" s="1" t="s">
        <v>23</v>
      </c>
      <c r="C429" s="1" t="s">
        <v>11</v>
      </c>
      <c r="D429" s="1" t="s">
        <v>7</v>
      </c>
      <c r="E429" s="1">
        <v>102.7824</v>
      </c>
      <c r="H429">
        <v>2024</v>
      </c>
      <c r="I429" t="s">
        <v>23</v>
      </c>
      <c r="J429" t="s">
        <v>11</v>
      </c>
      <c r="K429" t="s">
        <v>7</v>
      </c>
      <c r="L429" t="str">
        <f t="shared" si="6"/>
        <v>2024NovemberUrban</v>
      </c>
      <c r="M429">
        <v>102.7824</v>
      </c>
      <c r="N429">
        <v>102.8</v>
      </c>
    </row>
    <row r="430" spans="1:14" x14ac:dyDescent="0.25">
      <c r="A430" s="1">
        <v>2024</v>
      </c>
      <c r="B430" s="1" t="s">
        <v>23</v>
      </c>
      <c r="C430" s="1" t="s">
        <v>11</v>
      </c>
      <c r="D430" s="1" t="s">
        <v>8</v>
      </c>
      <c r="E430" s="1">
        <v>103.49654999999998</v>
      </c>
      <c r="H430">
        <v>2024</v>
      </c>
      <c r="I430" t="s">
        <v>23</v>
      </c>
      <c r="J430" t="s">
        <v>11</v>
      </c>
      <c r="K430" t="s">
        <v>8</v>
      </c>
      <c r="L430" t="str">
        <f t="shared" si="6"/>
        <v>2024NovemberCombined</v>
      </c>
      <c r="M430">
        <v>103.49654999999998</v>
      </c>
      <c r="N430">
        <v>103.5</v>
      </c>
    </row>
    <row r="431" spans="1:14" x14ac:dyDescent="0.25">
      <c r="A431" s="1">
        <v>2024</v>
      </c>
      <c r="B431" s="1" t="s">
        <v>24</v>
      </c>
      <c r="C431" s="1" t="s">
        <v>11</v>
      </c>
      <c r="D431" s="1" t="s">
        <v>6</v>
      </c>
      <c r="E431" s="1">
        <v>103.60448000000001</v>
      </c>
      <c r="H431">
        <v>2024</v>
      </c>
      <c r="I431" t="s">
        <v>24</v>
      </c>
      <c r="J431" t="s">
        <v>11</v>
      </c>
      <c r="K431" t="s">
        <v>6</v>
      </c>
      <c r="L431" t="str">
        <f t="shared" si="6"/>
        <v>2024DecemberRural</v>
      </c>
      <c r="M431">
        <v>103.60448000000001</v>
      </c>
      <c r="N431">
        <v>103.6</v>
      </c>
    </row>
    <row r="432" spans="1:14" x14ac:dyDescent="0.25">
      <c r="A432" s="1">
        <v>2024</v>
      </c>
      <c r="B432" s="1" t="s">
        <v>24</v>
      </c>
      <c r="C432" s="1" t="s">
        <v>11</v>
      </c>
      <c r="D432" s="1" t="s">
        <v>7</v>
      </c>
      <c r="E432" s="1">
        <v>102.14400000000001</v>
      </c>
      <c r="H432">
        <v>2024</v>
      </c>
      <c r="I432" t="s">
        <v>24</v>
      </c>
      <c r="J432" t="s">
        <v>11</v>
      </c>
      <c r="K432" t="s">
        <v>7</v>
      </c>
      <c r="L432" t="str">
        <f t="shared" si="6"/>
        <v>2024DecemberUrban</v>
      </c>
      <c r="M432">
        <v>102.14400000000001</v>
      </c>
      <c r="N432">
        <v>102.1</v>
      </c>
    </row>
    <row r="433" spans="1:14" x14ac:dyDescent="0.25">
      <c r="A433" s="1">
        <v>2024</v>
      </c>
      <c r="B433" s="1" t="s">
        <v>24</v>
      </c>
      <c r="C433" s="1" t="s">
        <v>11</v>
      </c>
      <c r="D433" s="1" t="s">
        <v>8</v>
      </c>
      <c r="E433" s="1">
        <v>102.91717999999999</v>
      </c>
      <c r="H433">
        <v>2024</v>
      </c>
      <c r="I433" t="s">
        <v>24</v>
      </c>
      <c r="J433" t="s">
        <v>11</v>
      </c>
      <c r="K433" t="s">
        <v>8</v>
      </c>
      <c r="L433" t="str">
        <f t="shared" si="6"/>
        <v>2024DecemberCombined</v>
      </c>
      <c r="M433">
        <v>102.91717999999999</v>
      </c>
      <c r="N433">
        <v>102.9</v>
      </c>
    </row>
    <row r="434" spans="1:14" x14ac:dyDescent="0.25">
      <c r="A434" s="1">
        <v>2025</v>
      </c>
      <c r="B434" s="1" t="s">
        <v>10</v>
      </c>
      <c r="C434" s="1" t="s">
        <v>11</v>
      </c>
      <c r="D434" s="1" t="s">
        <v>6</v>
      </c>
      <c r="E434" s="1">
        <v>102.29898</v>
      </c>
      <c r="H434">
        <v>2025</v>
      </c>
      <c r="I434" t="s">
        <v>10</v>
      </c>
      <c r="J434" t="s">
        <v>11</v>
      </c>
      <c r="K434" t="s">
        <v>6</v>
      </c>
      <c r="L434" t="str">
        <f t="shared" si="6"/>
        <v>2025JanuaryRural</v>
      </c>
      <c r="M434">
        <v>102.29898</v>
      </c>
      <c r="N434">
        <v>102.3</v>
      </c>
    </row>
    <row r="435" spans="1:14" x14ac:dyDescent="0.25">
      <c r="A435" s="1">
        <v>2025</v>
      </c>
      <c r="B435" s="1" t="s">
        <v>10</v>
      </c>
      <c r="C435" s="1" t="s">
        <v>11</v>
      </c>
      <c r="D435" s="1" t="s">
        <v>7</v>
      </c>
      <c r="E435" s="1">
        <v>101.39920000000001</v>
      </c>
      <c r="H435">
        <v>2025</v>
      </c>
      <c r="I435" t="s">
        <v>10</v>
      </c>
      <c r="J435" t="s">
        <v>11</v>
      </c>
      <c r="K435" t="s">
        <v>7</v>
      </c>
      <c r="L435" t="str">
        <f t="shared" si="6"/>
        <v>2025JanuaryUrban</v>
      </c>
      <c r="M435">
        <v>101.39920000000001</v>
      </c>
      <c r="N435">
        <v>101.4</v>
      </c>
    </row>
    <row r="436" spans="1:14" x14ac:dyDescent="0.25">
      <c r="A436" s="1">
        <v>2025</v>
      </c>
      <c r="B436" s="1" t="s">
        <v>10</v>
      </c>
      <c r="C436" s="1" t="s">
        <v>11</v>
      </c>
      <c r="D436" s="1" t="s">
        <v>8</v>
      </c>
      <c r="E436" s="1">
        <v>101.86377999999999</v>
      </c>
      <c r="H436">
        <v>2025</v>
      </c>
      <c r="I436" t="s">
        <v>10</v>
      </c>
      <c r="J436" t="s">
        <v>11</v>
      </c>
      <c r="K436" t="s">
        <v>8</v>
      </c>
      <c r="L436" t="str">
        <f t="shared" si="6"/>
        <v>2025JanuaryCombined</v>
      </c>
      <c r="M436">
        <v>101.86377999999999</v>
      </c>
      <c r="N436">
        <v>101.9</v>
      </c>
    </row>
    <row r="437" spans="1:14" x14ac:dyDescent="0.25">
      <c r="A437" s="1">
        <v>2025</v>
      </c>
      <c r="B437" s="1" t="s">
        <v>14</v>
      </c>
      <c r="C437" s="1" t="s">
        <v>11</v>
      </c>
      <c r="D437" s="1" t="s">
        <v>6</v>
      </c>
      <c r="E437" s="1">
        <v>101.56789999999999</v>
      </c>
      <c r="H437">
        <v>2025</v>
      </c>
      <c r="I437" t="s">
        <v>14</v>
      </c>
      <c r="J437" t="s">
        <v>11</v>
      </c>
      <c r="K437" t="s">
        <v>6</v>
      </c>
      <c r="L437" t="str">
        <f t="shared" si="6"/>
        <v>2025FebruaryRural</v>
      </c>
      <c r="M437">
        <v>101.56789999999999</v>
      </c>
      <c r="N437">
        <v>101.6</v>
      </c>
    </row>
    <row r="438" spans="1:14" x14ac:dyDescent="0.25">
      <c r="A438" s="1">
        <v>2025</v>
      </c>
      <c r="B438" s="1" t="s">
        <v>14</v>
      </c>
      <c r="C438" s="1" t="s">
        <v>11</v>
      </c>
      <c r="D438" s="1" t="s">
        <v>7</v>
      </c>
      <c r="E438" s="1">
        <v>101.1332</v>
      </c>
      <c r="H438">
        <v>2025</v>
      </c>
      <c r="I438" t="s">
        <v>14</v>
      </c>
      <c r="J438" t="s">
        <v>11</v>
      </c>
      <c r="K438" t="s">
        <v>7</v>
      </c>
      <c r="L438" t="str">
        <f t="shared" si="6"/>
        <v>2025FebruaryUrban</v>
      </c>
      <c r="M438">
        <v>101.1332</v>
      </c>
      <c r="N438">
        <v>101.1</v>
      </c>
    </row>
    <row r="439" spans="1:14" x14ac:dyDescent="0.25">
      <c r="A439" s="1">
        <v>2025</v>
      </c>
      <c r="B439" s="1" t="s">
        <v>14</v>
      </c>
      <c r="C439" s="1" t="s">
        <v>11</v>
      </c>
      <c r="D439" s="1" t="s">
        <v>8</v>
      </c>
      <c r="E439" s="1">
        <v>101.38974999999999</v>
      </c>
      <c r="H439">
        <v>2025</v>
      </c>
      <c r="I439" t="s">
        <v>14</v>
      </c>
      <c r="J439" t="s">
        <v>11</v>
      </c>
      <c r="K439" t="s">
        <v>8</v>
      </c>
      <c r="L439" t="str">
        <f t="shared" si="6"/>
        <v>2025FebruaryCombined</v>
      </c>
      <c r="M439">
        <v>101.38974999999999</v>
      </c>
      <c r="N439">
        <v>101.4</v>
      </c>
    </row>
    <row r="440" spans="1:14" x14ac:dyDescent="0.25">
      <c r="A440" s="1">
        <v>2025</v>
      </c>
      <c r="B440" s="1" t="s">
        <v>15</v>
      </c>
      <c r="C440" s="1" t="s">
        <v>11</v>
      </c>
      <c r="D440" s="1" t="s">
        <v>6</v>
      </c>
      <c r="E440" s="1">
        <v>101.25458</v>
      </c>
      <c r="H440">
        <v>2025</v>
      </c>
      <c r="I440" t="s">
        <v>15</v>
      </c>
      <c r="J440" t="s">
        <v>11</v>
      </c>
      <c r="K440" t="s">
        <v>6</v>
      </c>
      <c r="L440" t="str">
        <f t="shared" si="6"/>
        <v>2025MarchRural</v>
      </c>
      <c r="M440">
        <v>101.25458</v>
      </c>
      <c r="N440">
        <v>101.3</v>
      </c>
    </row>
    <row r="441" spans="1:14" x14ac:dyDescent="0.25">
      <c r="A441" s="1">
        <v>2025</v>
      </c>
      <c r="B441" s="1" t="s">
        <v>15</v>
      </c>
      <c r="C441" s="1" t="s">
        <v>11</v>
      </c>
      <c r="D441" s="1" t="s">
        <v>7</v>
      </c>
      <c r="E441" s="1">
        <v>101.02680000000001</v>
      </c>
      <c r="H441">
        <v>2025</v>
      </c>
      <c r="I441" t="s">
        <v>15</v>
      </c>
      <c r="J441" t="s">
        <v>11</v>
      </c>
      <c r="K441" t="s">
        <v>7</v>
      </c>
      <c r="L441" t="str">
        <f t="shared" si="6"/>
        <v>2025MarchUrban</v>
      </c>
      <c r="M441">
        <v>101.02680000000001</v>
      </c>
      <c r="N441">
        <v>101</v>
      </c>
    </row>
    <row r="442" spans="1:14" x14ac:dyDescent="0.25">
      <c r="A442" s="1">
        <v>2025</v>
      </c>
      <c r="B442" s="1" t="s">
        <v>15</v>
      </c>
      <c r="C442" s="1" t="s">
        <v>11</v>
      </c>
      <c r="D442" s="1" t="s">
        <v>8</v>
      </c>
      <c r="E442" s="1">
        <v>101.12639999999999</v>
      </c>
      <c r="H442">
        <v>2025</v>
      </c>
      <c r="I442" t="s">
        <v>15</v>
      </c>
      <c r="J442" t="s">
        <v>11</v>
      </c>
      <c r="K442" t="s">
        <v>8</v>
      </c>
      <c r="L442" t="str">
        <f t="shared" si="6"/>
        <v>2025MarchCombined</v>
      </c>
      <c r="M442">
        <v>101.12639999999999</v>
      </c>
      <c r="N442">
        <v>101.1</v>
      </c>
    </row>
    <row r="443" spans="1:14" x14ac:dyDescent="0.25">
      <c r="A443" s="1">
        <v>2025</v>
      </c>
      <c r="B443" s="1" t="s">
        <v>16</v>
      </c>
      <c r="C443" s="1" t="s">
        <v>11</v>
      </c>
      <c r="D443" s="1" t="s">
        <v>6</v>
      </c>
      <c r="E443" s="1">
        <v>101.3068</v>
      </c>
      <c r="H443">
        <v>2025</v>
      </c>
      <c r="I443" t="s">
        <v>16</v>
      </c>
      <c r="J443" t="s">
        <v>11</v>
      </c>
      <c r="K443" t="s">
        <v>6</v>
      </c>
      <c r="L443" t="str">
        <f t="shared" si="6"/>
        <v>2025AprilRural</v>
      </c>
      <c r="M443">
        <v>101.3068</v>
      </c>
      <c r="N443">
        <v>101.3</v>
      </c>
    </row>
    <row r="444" spans="1:14" x14ac:dyDescent="0.25">
      <c r="A444" s="1">
        <v>2025</v>
      </c>
      <c r="B444" s="1" t="s">
        <v>16</v>
      </c>
      <c r="C444" s="1" t="s">
        <v>11</v>
      </c>
      <c r="D444" s="1" t="s">
        <v>7</v>
      </c>
      <c r="E444" s="1">
        <v>101.55880000000001</v>
      </c>
      <c r="H444">
        <v>2025</v>
      </c>
      <c r="I444" t="s">
        <v>16</v>
      </c>
      <c r="J444" t="s">
        <v>11</v>
      </c>
      <c r="K444" t="s">
        <v>7</v>
      </c>
      <c r="L444" t="str">
        <f t="shared" si="6"/>
        <v>2025AprilUrban</v>
      </c>
      <c r="M444">
        <v>101.55880000000001</v>
      </c>
      <c r="N444">
        <v>101.6</v>
      </c>
    </row>
    <row r="445" spans="1:14" x14ac:dyDescent="0.25">
      <c r="A445" s="1">
        <v>2025</v>
      </c>
      <c r="B445" s="1" t="s">
        <v>16</v>
      </c>
      <c r="C445" s="1" t="s">
        <v>11</v>
      </c>
      <c r="D445" s="1" t="s">
        <v>8</v>
      </c>
      <c r="E445" s="1">
        <v>101.44241999999998</v>
      </c>
      <c r="H445">
        <v>2025</v>
      </c>
      <c r="I445" t="s">
        <v>16</v>
      </c>
      <c r="J445" t="s">
        <v>11</v>
      </c>
      <c r="K445" t="s">
        <v>8</v>
      </c>
      <c r="L445" t="str">
        <f t="shared" si="6"/>
        <v>2025AprilCombined</v>
      </c>
      <c r="M445">
        <v>101.44241999999998</v>
      </c>
      <c r="N445">
        <v>101.4</v>
      </c>
    </row>
    <row r="446" spans="1:14" x14ac:dyDescent="0.25">
      <c r="A446" s="1">
        <v>2025</v>
      </c>
      <c r="B446" s="1" t="s">
        <v>17</v>
      </c>
      <c r="C446" s="1" t="s">
        <v>11</v>
      </c>
      <c r="D446" s="1" t="s">
        <v>6</v>
      </c>
      <c r="E446" s="1">
        <v>101.46346000000001</v>
      </c>
      <c r="H446">
        <v>2025</v>
      </c>
      <c r="I446" t="s">
        <v>17</v>
      </c>
      <c r="J446" t="s">
        <v>11</v>
      </c>
      <c r="K446" t="s">
        <v>6</v>
      </c>
      <c r="L446" t="str">
        <f t="shared" si="6"/>
        <v>2025MayRural</v>
      </c>
      <c r="M446">
        <v>101.46346000000001</v>
      </c>
      <c r="N446">
        <v>101.5</v>
      </c>
    </row>
    <row r="447" spans="1:14" x14ac:dyDescent="0.25">
      <c r="A447" s="1">
        <v>2025</v>
      </c>
      <c r="B447" s="1" t="s">
        <v>17</v>
      </c>
      <c r="C447" s="1" t="s">
        <v>11</v>
      </c>
      <c r="D447" s="1" t="s">
        <v>7</v>
      </c>
      <c r="E447" s="1">
        <v>101.878</v>
      </c>
      <c r="H447">
        <v>2025</v>
      </c>
      <c r="I447" t="s">
        <v>17</v>
      </c>
      <c r="J447" t="s">
        <v>11</v>
      </c>
      <c r="K447" t="s">
        <v>7</v>
      </c>
      <c r="L447" t="str">
        <f t="shared" si="6"/>
        <v>2025MayUrban</v>
      </c>
      <c r="M447">
        <v>101.878</v>
      </c>
      <c r="N447">
        <v>101.9</v>
      </c>
    </row>
    <row r="448" spans="1:14" x14ac:dyDescent="0.25">
      <c r="A448" s="1">
        <v>2025</v>
      </c>
      <c r="B448" s="1" t="s">
        <v>17</v>
      </c>
      <c r="C448" s="1" t="s">
        <v>11</v>
      </c>
      <c r="D448" s="1" t="s">
        <v>8</v>
      </c>
      <c r="E448" s="1">
        <v>101.65309999999999</v>
      </c>
      <c r="H448">
        <v>2025</v>
      </c>
      <c r="I448" t="s">
        <v>17</v>
      </c>
      <c r="J448" t="s">
        <v>11</v>
      </c>
      <c r="K448" t="s">
        <v>8</v>
      </c>
      <c r="L448" t="str">
        <f t="shared" si="6"/>
        <v>2025MayCombined</v>
      </c>
      <c r="M448">
        <v>101.65309999999999</v>
      </c>
      <c r="N448">
        <v>101.7</v>
      </c>
    </row>
    <row r="449" spans="1:14" x14ac:dyDescent="0.25">
      <c r="A449" s="1">
        <v>2025</v>
      </c>
      <c r="B449" s="1" t="s">
        <v>18</v>
      </c>
      <c r="C449" s="1" t="s">
        <v>11</v>
      </c>
      <c r="D449" s="1" t="s">
        <v>6</v>
      </c>
      <c r="E449" s="1">
        <v>102.09009999999999</v>
      </c>
      <c r="H449">
        <v>2025</v>
      </c>
      <c r="I449" t="s">
        <v>18</v>
      </c>
      <c r="J449" t="s">
        <v>11</v>
      </c>
      <c r="K449" t="s">
        <v>6</v>
      </c>
      <c r="L449" t="str">
        <f t="shared" si="6"/>
        <v>2025JuneRural</v>
      </c>
      <c r="M449">
        <v>102.09009999999999</v>
      </c>
      <c r="N449">
        <v>102.1</v>
      </c>
    </row>
    <row r="450" spans="1:14" x14ac:dyDescent="0.25">
      <c r="A450" s="1">
        <v>2025</v>
      </c>
      <c r="B450" s="1" t="s">
        <v>18</v>
      </c>
      <c r="C450" s="1" t="s">
        <v>11</v>
      </c>
      <c r="D450" s="1" t="s">
        <v>7</v>
      </c>
      <c r="E450" s="1">
        <v>102.4632</v>
      </c>
      <c r="H450">
        <v>2025</v>
      </c>
      <c r="I450" t="s">
        <v>18</v>
      </c>
      <c r="J450" t="s">
        <v>11</v>
      </c>
      <c r="K450" t="s">
        <v>7</v>
      </c>
      <c r="L450" t="str">
        <f t="shared" si="6"/>
        <v>2025JuneUrban</v>
      </c>
      <c r="M450">
        <v>102.4632</v>
      </c>
      <c r="N450">
        <v>102.5</v>
      </c>
    </row>
    <row r="451" spans="1:14" x14ac:dyDescent="0.25">
      <c r="A451" s="1">
        <v>2025</v>
      </c>
      <c r="B451" s="1" t="s">
        <v>18</v>
      </c>
      <c r="C451" s="1" t="s">
        <v>11</v>
      </c>
      <c r="D451" s="1" t="s">
        <v>8</v>
      </c>
      <c r="E451" s="1">
        <v>102.28513999999998</v>
      </c>
      <c r="H451">
        <v>2025</v>
      </c>
      <c r="I451" t="s">
        <v>18</v>
      </c>
      <c r="J451" t="s">
        <v>11</v>
      </c>
      <c r="K451" t="s">
        <v>8</v>
      </c>
      <c r="L451" t="str">
        <f t="shared" ref="L451:L469" si="7">CONCATENATE(H451,I451,K451)</f>
        <v>2025JuneCombined</v>
      </c>
      <c r="M451">
        <v>102.28513999999998</v>
      </c>
      <c r="N451">
        <v>102.3</v>
      </c>
    </row>
    <row r="452" spans="1:14" x14ac:dyDescent="0.25">
      <c r="A452" s="1">
        <v>2025</v>
      </c>
      <c r="B452" s="1" t="s">
        <v>19</v>
      </c>
      <c r="C452" s="1" t="s">
        <v>11</v>
      </c>
      <c r="D452" s="1" t="s">
        <v>6</v>
      </c>
      <c r="E452" s="1">
        <v>103.18671999999999</v>
      </c>
      <c r="H452">
        <v>2025</v>
      </c>
      <c r="I452" t="s">
        <v>19</v>
      </c>
      <c r="J452" t="s">
        <v>11</v>
      </c>
      <c r="K452" t="s">
        <v>6</v>
      </c>
      <c r="L452" t="str">
        <f t="shared" si="7"/>
        <v>2025JulyRural</v>
      </c>
      <c r="M452">
        <v>103.18671999999999</v>
      </c>
      <c r="N452">
        <v>103.2</v>
      </c>
    </row>
    <row r="453" spans="1:14" x14ac:dyDescent="0.25">
      <c r="A453" s="1">
        <v>2025</v>
      </c>
      <c r="B453" s="1" t="s">
        <v>19</v>
      </c>
      <c r="C453" s="1" t="s">
        <v>11</v>
      </c>
      <c r="D453" s="1" t="s">
        <v>7</v>
      </c>
      <c r="E453" s="1">
        <v>103.36760000000001</v>
      </c>
      <c r="H453">
        <v>2025</v>
      </c>
      <c r="I453" t="s">
        <v>19</v>
      </c>
      <c r="J453" t="s">
        <v>11</v>
      </c>
      <c r="K453" t="s">
        <v>7</v>
      </c>
      <c r="L453" t="str">
        <f t="shared" si="7"/>
        <v>2025JulyUrban</v>
      </c>
      <c r="M453">
        <v>103.36760000000001</v>
      </c>
      <c r="N453">
        <v>103.4</v>
      </c>
    </row>
    <row r="454" spans="1:14" x14ac:dyDescent="0.25">
      <c r="A454" s="1">
        <v>2025</v>
      </c>
      <c r="B454" s="1" t="s">
        <v>19</v>
      </c>
      <c r="C454" s="1" t="s">
        <v>11</v>
      </c>
      <c r="D454" s="1" t="s">
        <v>8</v>
      </c>
      <c r="E454" s="1">
        <v>103.28586999999999</v>
      </c>
      <c r="H454">
        <v>2025</v>
      </c>
      <c r="I454" t="s">
        <v>19</v>
      </c>
      <c r="J454" t="s">
        <v>11</v>
      </c>
      <c r="K454" t="s">
        <v>8</v>
      </c>
      <c r="L454" t="str">
        <f t="shared" si="7"/>
        <v>2025JulyCombined</v>
      </c>
      <c r="M454">
        <v>103.28586999999999</v>
      </c>
      <c r="N454">
        <v>103.3</v>
      </c>
    </row>
    <row r="455" spans="1:14" x14ac:dyDescent="0.25">
      <c r="A455" s="1">
        <v>2025</v>
      </c>
      <c r="B455" s="1" t="s">
        <v>20</v>
      </c>
      <c r="C455" s="1" t="s">
        <v>11</v>
      </c>
      <c r="D455" s="1" t="s">
        <v>6</v>
      </c>
      <c r="E455" s="1">
        <v>103.76114</v>
      </c>
      <c r="H455">
        <v>2025</v>
      </c>
      <c r="I455" t="s">
        <v>20</v>
      </c>
      <c r="J455" t="s">
        <v>11</v>
      </c>
      <c r="K455" t="s">
        <v>6</v>
      </c>
      <c r="L455" t="str">
        <f t="shared" si="7"/>
        <v>2025AugustRural</v>
      </c>
      <c r="M455">
        <v>103.76114</v>
      </c>
      <c r="N455">
        <v>103.8</v>
      </c>
    </row>
    <row r="456" spans="1:14" x14ac:dyDescent="0.25">
      <c r="A456" s="1">
        <v>2025</v>
      </c>
      <c r="B456" s="1" t="s">
        <v>20</v>
      </c>
      <c r="C456" s="1" t="s">
        <v>11</v>
      </c>
      <c r="D456" s="1" t="s">
        <v>7</v>
      </c>
      <c r="E456" s="1">
        <v>103.74000000000001</v>
      </c>
      <c r="H456">
        <v>2025</v>
      </c>
      <c r="I456" t="s">
        <v>20</v>
      </c>
      <c r="J456" t="s">
        <v>11</v>
      </c>
      <c r="K456" t="s">
        <v>7</v>
      </c>
      <c r="L456" t="str">
        <f t="shared" si="7"/>
        <v>2025AugustUrban</v>
      </c>
      <c r="M456">
        <v>103.74000000000001</v>
      </c>
      <c r="N456">
        <v>103.7</v>
      </c>
    </row>
    <row r="457" spans="1:14" x14ac:dyDescent="0.25">
      <c r="A457" s="1">
        <v>2025</v>
      </c>
      <c r="B457" s="1" t="s">
        <v>20</v>
      </c>
      <c r="C457" s="1" t="s">
        <v>11</v>
      </c>
      <c r="D457" s="1" t="s">
        <v>8</v>
      </c>
      <c r="E457" s="1">
        <v>103.75989999999999</v>
      </c>
      <c r="H457">
        <v>2025</v>
      </c>
      <c r="I457" t="s">
        <v>20</v>
      </c>
      <c r="J457" t="s">
        <v>11</v>
      </c>
      <c r="K457" t="s">
        <v>8</v>
      </c>
      <c r="L457" t="str">
        <f t="shared" si="7"/>
        <v>2025AugustCombined</v>
      </c>
      <c r="M457">
        <v>103.75989999999999</v>
      </c>
      <c r="N457">
        <v>103.8</v>
      </c>
    </row>
    <row r="458" spans="1:14" x14ac:dyDescent="0.25">
      <c r="A458" s="1">
        <v>2025</v>
      </c>
      <c r="B458" s="1" t="s">
        <v>21</v>
      </c>
      <c r="C458" s="1" t="s">
        <v>11</v>
      </c>
      <c r="D458" s="1" t="s">
        <v>6</v>
      </c>
      <c r="E458" s="1">
        <v>103.81336</v>
      </c>
      <c r="H458">
        <v>2025</v>
      </c>
      <c r="I458" t="s">
        <v>21</v>
      </c>
      <c r="J458" t="s">
        <v>11</v>
      </c>
      <c r="K458" t="s">
        <v>6</v>
      </c>
      <c r="L458" t="str">
        <f t="shared" si="7"/>
        <v>2025SeptemberRural</v>
      </c>
      <c r="M458">
        <v>103.81336</v>
      </c>
      <c r="N458">
        <v>103.8</v>
      </c>
    </row>
    <row r="459" spans="1:14" x14ac:dyDescent="0.25">
      <c r="A459" s="1">
        <v>2025</v>
      </c>
      <c r="B459" s="1" t="s">
        <v>21</v>
      </c>
      <c r="C459" s="1" t="s">
        <v>11</v>
      </c>
      <c r="D459" s="1" t="s">
        <v>7</v>
      </c>
      <c r="E459" s="1">
        <v>103.68680000000001</v>
      </c>
      <c r="H459">
        <v>2025</v>
      </c>
      <c r="I459" t="s">
        <v>21</v>
      </c>
      <c r="J459" t="s">
        <v>11</v>
      </c>
      <c r="K459" t="s">
        <v>7</v>
      </c>
      <c r="L459" t="str">
        <f t="shared" si="7"/>
        <v>2025SeptemberUrban</v>
      </c>
      <c r="M459">
        <v>103.68680000000001</v>
      </c>
      <c r="N459">
        <v>103.7</v>
      </c>
    </row>
    <row r="460" spans="1:14" x14ac:dyDescent="0.25">
      <c r="A460" s="1">
        <v>2025</v>
      </c>
      <c r="B460" s="1" t="s">
        <v>21</v>
      </c>
      <c r="C460" s="1" t="s">
        <v>11</v>
      </c>
      <c r="D460" s="1" t="s">
        <v>8</v>
      </c>
      <c r="E460" s="1">
        <v>103.75989999999999</v>
      </c>
      <c r="H460">
        <v>2025</v>
      </c>
      <c r="I460" t="s">
        <v>21</v>
      </c>
      <c r="J460" t="s">
        <v>11</v>
      </c>
      <c r="K460" t="s">
        <v>8</v>
      </c>
      <c r="L460" t="str">
        <f t="shared" si="7"/>
        <v>2025SeptemberCombined</v>
      </c>
      <c r="M460">
        <v>103.75989999999999</v>
      </c>
      <c r="N460">
        <v>103.8</v>
      </c>
    </row>
    <row r="461" spans="1:14" x14ac:dyDescent="0.25">
      <c r="A461" s="1">
        <v>2025</v>
      </c>
      <c r="B461" s="1" t="s">
        <v>22</v>
      </c>
      <c r="C461" s="1" t="s">
        <v>11</v>
      </c>
      <c r="D461" s="1" t="s">
        <v>6</v>
      </c>
      <c r="E461" s="1">
        <v>103.9178</v>
      </c>
      <c r="H461">
        <v>2025</v>
      </c>
      <c r="I461" t="s">
        <v>22</v>
      </c>
      <c r="J461" t="s">
        <v>11</v>
      </c>
      <c r="K461" t="s">
        <v>6</v>
      </c>
      <c r="L461" t="str">
        <f t="shared" si="7"/>
        <v>2025OctoberRural</v>
      </c>
      <c r="M461">
        <v>103.9178</v>
      </c>
      <c r="N461">
        <v>103.9</v>
      </c>
    </row>
    <row r="462" spans="1:14" x14ac:dyDescent="0.25">
      <c r="A462" s="1">
        <v>2025</v>
      </c>
      <c r="B462" s="1" t="s">
        <v>22</v>
      </c>
      <c r="C462" s="1" t="s">
        <v>11</v>
      </c>
      <c r="D462" s="1" t="s">
        <v>7</v>
      </c>
      <c r="E462" s="1">
        <v>103.95280000000001</v>
      </c>
      <c r="H462">
        <v>2025</v>
      </c>
      <c r="I462" t="s">
        <v>22</v>
      </c>
      <c r="J462" t="s">
        <v>11</v>
      </c>
      <c r="K462" t="s">
        <v>7</v>
      </c>
      <c r="L462" t="str">
        <f t="shared" si="7"/>
        <v>2025OctoberUrban</v>
      </c>
      <c r="M462">
        <v>103.95280000000001</v>
      </c>
      <c r="N462">
        <v>104</v>
      </c>
    </row>
    <row r="463" spans="1:14" x14ac:dyDescent="0.25">
      <c r="A463" s="1">
        <v>2025</v>
      </c>
      <c r="B463" s="1" t="s">
        <v>22</v>
      </c>
      <c r="C463" s="1" t="s">
        <v>11</v>
      </c>
      <c r="D463" s="1" t="s">
        <v>8</v>
      </c>
      <c r="E463" s="1">
        <v>103.91790999999999</v>
      </c>
      <c r="H463">
        <v>2025</v>
      </c>
      <c r="I463" t="s">
        <v>22</v>
      </c>
      <c r="J463" t="s">
        <v>11</v>
      </c>
      <c r="K463" t="s">
        <v>8</v>
      </c>
      <c r="L463" t="str">
        <f t="shared" si="7"/>
        <v>2025OctoberCombined</v>
      </c>
      <c r="M463">
        <v>103.91790999999999</v>
      </c>
      <c r="N463">
        <v>103.9</v>
      </c>
    </row>
    <row r="464" spans="1:14" x14ac:dyDescent="0.25">
      <c r="A464" s="1">
        <v>2025</v>
      </c>
      <c r="B464" s="1" t="s">
        <v>23</v>
      </c>
      <c r="C464" s="1" t="s">
        <v>11</v>
      </c>
      <c r="D464" s="1" t="s">
        <v>6</v>
      </c>
      <c r="E464" s="1">
        <v>104.23111999999999</v>
      </c>
      <c r="H464">
        <v>2025</v>
      </c>
      <c r="I464" t="s">
        <v>23</v>
      </c>
      <c r="J464" t="s">
        <v>11</v>
      </c>
      <c r="K464" t="s">
        <v>6</v>
      </c>
      <c r="L464" t="str">
        <f t="shared" si="7"/>
        <v>2025NovemberRural</v>
      </c>
      <c r="M464">
        <v>104.23111999999999</v>
      </c>
      <c r="N464">
        <v>104.2</v>
      </c>
    </row>
    <row r="465" spans="1:14" x14ac:dyDescent="0.25">
      <c r="A465" s="1">
        <v>2025</v>
      </c>
      <c r="B465" s="1" t="s">
        <v>23</v>
      </c>
      <c r="C465" s="1" t="s">
        <v>11</v>
      </c>
      <c r="D465" s="1" t="s">
        <v>7</v>
      </c>
      <c r="E465" s="1">
        <v>104.2188</v>
      </c>
      <c r="H465">
        <v>2025</v>
      </c>
      <c r="I465" t="s">
        <v>23</v>
      </c>
      <c r="J465" t="s">
        <v>11</v>
      </c>
      <c r="K465" t="s">
        <v>7</v>
      </c>
      <c r="L465" t="str">
        <f t="shared" si="7"/>
        <v>2025NovemberUrban</v>
      </c>
      <c r="M465">
        <v>104.2188</v>
      </c>
      <c r="N465">
        <v>104.2</v>
      </c>
    </row>
    <row r="466" spans="1:14" x14ac:dyDescent="0.25">
      <c r="A466" s="1">
        <v>2025</v>
      </c>
      <c r="B466" s="1" t="s">
        <v>23</v>
      </c>
      <c r="C466" s="1" t="s">
        <v>11</v>
      </c>
      <c r="D466" s="1" t="s">
        <v>8</v>
      </c>
      <c r="E466" s="1">
        <v>104.23392999999999</v>
      </c>
      <c r="H466">
        <v>2025</v>
      </c>
      <c r="I466" t="s">
        <v>23</v>
      </c>
      <c r="J466" t="s">
        <v>11</v>
      </c>
      <c r="K466" t="s">
        <v>8</v>
      </c>
      <c r="L466" t="str">
        <f t="shared" si="7"/>
        <v>2025NovemberCombined</v>
      </c>
      <c r="M466">
        <v>104.23392999999999</v>
      </c>
      <c r="N466">
        <v>104.2</v>
      </c>
    </row>
    <row r="467" spans="1:14" x14ac:dyDescent="0.25">
      <c r="A467" s="1">
        <v>2025</v>
      </c>
      <c r="B467" s="1" t="s">
        <v>24</v>
      </c>
      <c r="C467" s="1" t="s">
        <v>11</v>
      </c>
      <c r="D467" s="1" t="s">
        <v>6</v>
      </c>
      <c r="E467" s="1">
        <v>104.38778000000001</v>
      </c>
      <c r="H467">
        <v>2025</v>
      </c>
      <c r="I467" t="s">
        <v>24</v>
      </c>
      <c r="J467" t="s">
        <v>11</v>
      </c>
      <c r="K467" t="s">
        <v>6</v>
      </c>
      <c r="L467" t="str">
        <f t="shared" si="7"/>
        <v>2025DecemberRural</v>
      </c>
      <c r="M467">
        <v>104.38778000000001</v>
      </c>
      <c r="N467">
        <v>104.4</v>
      </c>
    </row>
    <row r="468" spans="1:14" x14ac:dyDescent="0.25">
      <c r="A468" s="1">
        <v>2025</v>
      </c>
      <c r="B468" s="1" t="s">
        <v>24</v>
      </c>
      <c r="C468" s="1" t="s">
        <v>11</v>
      </c>
      <c r="D468" s="1" t="s">
        <v>7</v>
      </c>
      <c r="E468" s="1">
        <v>104.2188</v>
      </c>
      <c r="H468">
        <v>2025</v>
      </c>
      <c r="I468" t="s">
        <v>24</v>
      </c>
      <c r="J468" t="s">
        <v>11</v>
      </c>
      <c r="K468" t="s">
        <v>7</v>
      </c>
      <c r="L468" t="str">
        <f t="shared" si="7"/>
        <v>2025DecemberUrban</v>
      </c>
      <c r="M468">
        <v>104.2188</v>
      </c>
      <c r="N468">
        <v>104.2</v>
      </c>
    </row>
    <row r="469" spans="1:14" x14ac:dyDescent="0.25">
      <c r="A469" s="1">
        <v>2025</v>
      </c>
      <c r="B469" s="1" t="s">
        <v>24</v>
      </c>
      <c r="C469" s="1" t="s">
        <v>11</v>
      </c>
      <c r="D469" s="1" t="s">
        <v>8</v>
      </c>
      <c r="E469" s="1">
        <v>104.28659999999999</v>
      </c>
      <c r="H469">
        <v>2025</v>
      </c>
      <c r="I469" t="s">
        <v>24</v>
      </c>
      <c r="J469" t="s">
        <v>11</v>
      </c>
      <c r="K469" t="s">
        <v>8</v>
      </c>
      <c r="L469" t="str">
        <f t="shared" si="7"/>
        <v>2025DecemberCombined</v>
      </c>
      <c r="M469">
        <v>104.28659999999999</v>
      </c>
      <c r="N469">
        <v>104.3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2CBA7-4411-4CC6-B5F4-7D0EB2DCDA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2013 to 2025</vt:lpstr>
      <vt:lpstr>Sheet5</vt:lpstr>
      <vt:lpstr>Linking Factor</vt:lpstr>
      <vt:lpstr>DIID format_old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Mospi</cp:lastModifiedBy>
  <dcterms:created xsi:type="dcterms:W3CDTF">2026-02-03T11:05:44Z</dcterms:created>
  <dcterms:modified xsi:type="dcterms:W3CDTF">2026-02-12T07:57:13Z</dcterms:modified>
</cp:coreProperties>
</file>